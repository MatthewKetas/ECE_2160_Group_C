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7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1182fdba843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s" sheetId="1" r:id="R058ba5bef8bc48dc"/>
    <x:sheet xmlns:r="http://schemas.openxmlformats.org/officeDocument/2006/relationships" name="Conditions" sheetId="2" r:id="R79eed3c6992f43e6"/>
    <x:sheet xmlns:r="http://schemas.openxmlformats.org/officeDocument/2006/relationships" name="Runs" sheetId="3" r:id="R73a92bbcc4764aae"/>
    <x:sheet xmlns:r="http://schemas.openxmlformats.org/officeDocument/2006/relationships" name="Stall detail" sheetId="4" r:id="Rf80df09e1a4342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0.000"/>
    <x:numFmt numFmtId="202" formatCode="0"/>
    <x:numFmt numFmtId="203" formatCode="yyyy-mm-dd hh:mm:ss"/>
    <x:numFmt numFmtId="204" formatCode="0.00"/>
    <x:numFmt numFmtId="205" formatCode="0.0"/>
  </x:numFmts>
  <x:fonts count="8">
    <x:font>
      <x:sz val="11"/>
      <x:name val="Carlito"/>
    </x:font>
    <x:font>
      <x:sz val="10"/>
      <x:color rgb="FF22384F"/>
      <x:name val="Arial"/>
    </x:font>
    <x:font>
      <x:b/>
      <x:sz val="16"/>
      <x:color rgb="FF22384F"/>
      <x:name val="Arial"/>
    </x:font>
    <x:font>
      <x:b/>
      <x:sz val="10"/>
      <x:color rgb="FFFFFFFF"/>
      <x:name val="Arial"/>
    </x:font>
    <x:font>
      <x:sz val="10"/>
      <x:color rgb="FF566B80"/>
      <x:name val="Arial"/>
    </x:font>
    <x:font>
      <x:b/>
      <x:sz val="12"/>
      <x:color rgb="FF22384F"/>
      <x:name val="Arial"/>
    </x:font>
    <x:font>
      <x:b/>
      <x:sz val="10"/>
      <x:color rgb="FF22384F"/>
      <x:name val="Arial"/>
    </x:font>
    <x:font>
      <x:sz val="10"/>
      <x:color rgb="FF244B7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2384F"/>
      </x:patternFill>
    </x:fill>
    <x:fill>
      <x:patternFill patternType="solid">
        <x:fgColor rgb="FFE8EFF6"/>
      </x:patternFill>
    </x:fill>
    <x:fill>
      <x:patternFill patternType="solid">
        <x:fgColor rgb="FFFFF5D8"/>
      </x:patternFill>
    </x:fill>
  </x:fills>
  <x:borders count="9">
    <x:border>
      <x:left/>
      <x:right/>
      <x:top/>
      <x:bottom/>
      <x:diagonal/>
    </x:border>
    <x:border>
      <x:left style="thin">
        <x:color rgb="FFDDC995"/>
      </x:left>
      <x:right/>
      <x:top style="thin">
        <x:color rgb="FFDDC995"/>
      </x:top>
      <x:bottom/>
      <x:diagonal/>
    </x:border>
    <x:border>
      <x:left/>
      <x:right/>
      <x:top style="thin">
        <x:color rgb="FFDDC995"/>
      </x:top>
      <x:bottom/>
      <x:diagonal/>
    </x:border>
    <x:border>
      <x:left/>
      <x:right style="thin">
        <x:color rgb="FFDDC995"/>
      </x:right>
      <x:top style="thin">
        <x:color rgb="FFDDC995"/>
      </x:top>
      <x:bottom/>
      <x:diagonal/>
    </x:border>
    <x:border>
      <x:left style="thin">
        <x:color rgb="FFDDC995"/>
      </x:left>
      <x:right/>
      <x:top/>
      <x:bottom/>
      <x:diagonal/>
    </x:border>
    <x:border>
      <x:left/>
      <x:right style="thin">
        <x:color rgb="FFDDC995"/>
      </x:right>
      <x:top/>
      <x:bottom/>
      <x:diagonal/>
    </x:border>
    <x:border>
      <x:left style="thin">
        <x:color rgb="FFDDC995"/>
      </x:left>
      <x:right/>
      <x:top/>
      <x:bottom style="thin">
        <x:color rgb="FFDDC995"/>
      </x:bottom>
      <x:diagonal/>
    </x:border>
    <x:border>
      <x:left/>
      <x:right/>
      <x:top/>
      <x:bottom style="thin">
        <x:color rgb="FFDDC995"/>
      </x:bottom>
      <x:diagonal/>
    </x:border>
    <x:border>
      <x:left/>
      <x:right style="thin">
        <x:color rgb="FFDDC995"/>
      </x:right>
      <x:top/>
      <x:bottom style="thin">
        <x:color rgb="FFDDC995"/>
      </x:bottom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0"/>
    </x:xf>
    <x:xf numFmtId="0" fontId="7" fillId="4" borderId="1" xfId="0" applyNumberFormat="1" applyFont="1" applyFill="1" applyBorder="1" applyAlignment="1">
      <x:alignment wrapText="0"/>
    </x:xf>
    <x:xf numFmtId="0" fontId="7" fillId="4" borderId="2" xfId="0" applyNumberFormat="1" applyFont="1" applyFill="1" applyBorder="1" applyAlignment="1">
      <x:alignment wrapText="0"/>
    </x:xf>
    <x:xf numFmtId="0" fontId="7" fillId="4" borderId="3" xfId="0" applyNumberFormat="1" applyFont="1" applyFill="1" applyBorder="1" applyAlignment="1">
      <x:alignment wrapText="0"/>
    </x:xf>
    <x:xf numFmtId="0" fontId="7" fillId="4" borderId="4" xfId="0" applyNumberFormat="1" applyFont="1" applyFill="1" applyBorder="1" applyAlignment="1">
      <x:alignment wrapText="0"/>
    </x:xf>
    <x:xf numFmtId="0" fontId="7" fillId="4" borderId="5" xfId="0" applyNumberFormat="1" applyFont="1" applyFill="1" applyBorder="1" applyAlignment="1">
      <x:alignment wrapText="0"/>
    </x:xf>
    <x:xf numFmtId="0" fontId="7" fillId="4" borderId="6" xfId="0" applyNumberFormat="1" applyFont="1" applyFill="1" applyBorder="1" applyAlignment="1">
      <x:alignment wrapText="0"/>
    </x:xf>
    <x:xf numFmtId="0" fontId="7" fillId="4" borderId="7" xfId="0" applyNumberFormat="1" applyFont="1" applyFill="1" applyBorder="1" applyAlignment="1">
      <x:alignment wrapText="0"/>
    </x:xf>
    <x:xf numFmtId="0" fontId="7" fillId="4" borderId="8" xfId="0" applyNumberFormat="1" applyFont="1" applyFill="1" applyBorder="1" applyAlignment="1">
      <x:alignment wrapText="0"/>
    </x:xf>
    <x:xf numFmtId="201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202" fontId="1" fillId="0" borderId="0" xfId="0" applyNumberFormat="1" applyFont="1" applyFill="1" applyBorder="1"/>
    <x:xf numFmtId="205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  <x:dxfs count="9">
    <x:dxf>
      <x:font>
        <x:b/>
        <x:color rgb="FF9B5612"/>
      </x:font>
      <x:fill>
        <x:patternFill patternType="solid">
          <x:bgColor rgb="FFFFF0DB"/>
        </x:patternFill>
      </x:fill>
    </x:dxf>
    <x:dxf>
      <x:font>
        <x:b/>
        <x:color rgb="FFA52F38"/>
      </x:font>
      <x:fill>
        <x:patternFill patternType="solid">
          <x:bgColor rgb="FFFBE7E7"/>
        </x:patternFill>
      </x:fill>
    </x:dxf>
    <x:dxf>
      <x:fill>
        <x:patternFill patternType="solid">
          <x:bgColor rgb="FFF3F6FA"/>
        </x:patternFill>
      </x:fill>
    </x:dxf>
    <x:dxf>
      <x:fill>
        <x:patternFill patternType="solid">
          <x:bgColor rgb="FFF3F6FA"/>
        </x:patternFill>
      </x:fill>
    </x:dxf>
    <x:dxf>
      <x:fill>
        <x:patternFill patternType="solid">
          <x:bgColor rgb="FFF3F6FA"/>
        </x:patternFill>
      </x:fill>
    </x:dxf>
    <x:dxf>
      <x:fill>
        <x:patternFill patternType="solid">
          <x:bgColor rgb="FFF3F6FA"/>
        </x:patternFill>
      </x:fill>
    </x:dxf>
    <x:dxf>
      <x:fill>
        <x:patternFill patternType="solid">
          <x:bgColor rgb="FFF3F6FA"/>
        </x:patternFill>
      </x:fill>
    </x:dxf>
    <x:dxf>
      <x:fill>
        <x:patternFill patternType="solid">
          <x:bgColor rgb="FFF3F6FA"/>
        </x:patternFill>
      </x:fill>
    </x:dxf>
    <x:dxf>
      <x:font>
        <x:b/>
        <x:color rgb="FFA52F38"/>
      </x:font>
      <x:fill>
        <x:patternFill patternType="solid">
          <x:bgColor rgb="FFFB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bcdd39ead427b" /><Relationship Type="http://schemas.openxmlformats.org/officeDocument/2006/relationships/theme" Target="/xl/theme/theme1.xml" Id="Rf67bdb9cd3124695" /><Relationship Type="http://schemas.microsoft.com/office/2022/11/relationships/FeaturePropertyBag" Target="/xl/featurePropertyBag/featurePropertyBag.xml" Id="R39c3d0e37c55418a" /><Relationship Type="http://schemas.openxmlformats.org/officeDocument/2006/relationships/sharedStrings" Target="/xl/sharedStrings.xml" Id="Rc1989a3d43204c5a" /><Relationship Type="http://schemas.openxmlformats.org/officeDocument/2006/relationships/worksheet" Target="/xl/worksheets/sheet1.xml" Id="R058ba5bef8bc48dc" /><Relationship Type="http://schemas.openxmlformats.org/officeDocument/2006/relationships/worksheet" Target="/xl/worksheets/sheet2.xml" Id="R79eed3c6992f43e6" /><Relationship Type="http://schemas.openxmlformats.org/officeDocument/2006/relationships/worksheet" Target="/xl/worksheets/sheet3.xml" Id="R73a92bbcc4764aae" /><Relationship Type="http://schemas.openxmlformats.org/officeDocument/2006/relationships/worksheet" Target="/xl/worksheets/sheet4.xml" Id="Rf80df09e1a4342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f8585f5418467f" /><Relationship Type="http://schemas.openxmlformats.org/officeDocument/2006/relationships/chart" Target="/xl/drawings/charts/chart2.xml" Id="Rfe577cd00d5347fc" /><Relationship Type="http://schemas.openxmlformats.org/officeDocument/2006/relationships/chart" Target="/xl/drawings/charts/chart3.xml" Id="Red19166e9a674ebc" /><Relationship Type="http://schemas.openxmlformats.org/officeDocument/2006/relationships/chart" Target="/xl/drawings/charts/chart4.xml" Id="R152206bbc63d4ad6" /><Relationship Type="http://schemas.openxmlformats.org/officeDocument/2006/relationships/chart" Target="/xl/drawings/charts/chart5.xml" Id="R8c219bd8657247b9" /><Relationship Type="http://schemas.openxmlformats.org/officeDocument/2006/relationships/chart" Target="/xl/drawings/charts/chart6.xml" Id="Rcffb8f048260422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6495f1051c5848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75">
                <a:latin typeface="Arial"/>
                <a:ea typeface="Arial"/>
                <a:cs typeface="Arial"/>
              </a:rPr>
              <a:t>Deadline-miss percentage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Run 1</c:v>
          </c:tx>
          <c:spPr>
            <a:solidFill xmlns:a="http://schemas.openxmlformats.org/drawingml/2006/main">
              <a:srgbClr val="287DB5"/>
            </a:solidFill>
          </c:spPr>
          <c:invertIfNegative val="0"/>
          <c:cat>
            <c:strRef>
              <c:f>'Conditions'!$B$12:$B$27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'Conditions'!$D$12:$D$27</c:f>
              <c:numCache>
                <c:formatCode>0.00%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Run 2</c:v>
          </c:tx>
          <c:spPr>
            <a:solidFill xmlns:a="http://schemas.openxmlformats.org/drawingml/2006/main">
              <a:srgbClr val="419C85"/>
            </a:solidFill>
          </c:spPr>
          <c:invertIfNegative val="0"/>
          <c:cat>
            <c:strRef>
              <c:f>'Conditions'!$B$12:$B$27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'Conditions'!$E$12:$E$27</c:f>
              <c:numCache>
                <c:formatCode>0.00%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2"/>
          <c:order val="2"/>
          <c:tx>
            <c:v>Run 3</c:v>
          </c:tx>
          <c:spPr>
            <a:solidFill xmlns:a="http://schemas.openxmlformats.org/drawingml/2006/main">
              <a:srgbClr val="D59A45"/>
            </a:solidFill>
          </c:spPr>
          <c:invertIfNegative val="0"/>
          <c:cat>
            <c:strRef>
              <c:f>'Conditions'!$B$12:$B$27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'Conditions'!$F$12:$F$27</c:f>
              <c:numCache>
                <c:formatCode>0.00%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3"/>
          <c:order val="3"/>
          <c:tx>
            <c:v>Mean</c:v>
          </c:tx>
          <c:spPr>
            <a:solidFill xmlns:a="http://schemas.openxmlformats.org/drawingml/2006/main">
              <a:srgbClr val="22384F"/>
            </a:solidFill>
          </c:spPr>
          <c:invertIfNegative val="0"/>
          <c:cat>
            <c:strRef>
              <c:f>'Conditions'!$B$12:$B$27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'Conditions'!$G$12:$G$27</c:f>
              <c:numCache>
                <c:formatCode>0.00%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0.0033333333333333335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6668">
              <a:solidFill>
                <a:srgbClr val="D8E1EB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Scheduled jobs missed (%)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75">
                <a:latin typeface="Arial"/>
                <a:ea typeface="Arial"/>
                <a:cs typeface="Arial"/>
              </a:rPr>
              <a:t>Median response time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Run 1</c:v>
          </c:tx>
          <c:spPr>
            <a:solidFill xmlns:a="http://schemas.openxmlformats.org/drawingml/2006/main">
              <a:srgbClr val="287DB5"/>
            </a:solidFill>
          </c:spPr>
          <c:invertIfNegative val="0"/>
          <c:cat>
            <c:strRef>
              <c:f>'Conditions'!$B$35:$B$50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'Conditions'!$D$35:$D$50</c:f>
              <c:numCache>
                <c:formatCode>0.000</c:formatCode>
                <c:ptCount val="16"/>
                <c:pt idx="0">
                  <c:v>0.1347345</c:v>
                </c:pt>
                <c:pt idx="1">
                  <c:v>0.138927</c:v>
                </c:pt>
                <c:pt idx="2">
                  <c:v>0.14839049999999998</c:v>
                </c:pt>
                <c:pt idx="3">
                  <c:v>0.147734</c:v>
                </c:pt>
                <c:pt idx="4">
                  <c:v>0.161344</c:v>
                </c:pt>
                <c:pt idx="5">
                  <c:v>0.1635905</c:v>
                </c:pt>
                <c:pt idx="6">
                  <c:v>0.1449545</c:v>
                </c:pt>
                <c:pt idx="7">
                  <c:v>0.0987565</c:v>
                </c:pt>
                <c:pt idx="8">
                  <c:v>0.09178149999999999</c:v>
                </c:pt>
                <c:pt idx="9">
                  <c:v>0.13893850000000002</c:v>
                </c:pt>
                <c:pt idx="10">
                  <c:v>0.1408945</c:v>
                </c:pt>
                <c:pt idx="11">
                  <c:v>0.1250445</c:v>
                </c:pt>
                <c:pt idx="12">
                  <c:v>0.15144400000000002</c:v>
                </c:pt>
                <c:pt idx="13">
                  <c:v>0.151887</c:v>
                </c:pt>
                <c:pt idx="14">
                  <c:v>0.159645</c:v>
                </c:pt>
                <c:pt idx="15">
                  <c:v>4.060698</c:v>
                </c:pt>
              </c:numCache>
            </c:numRef>
          </c:val>
        </c:ser>
        <c:ser>
          <c:idx val="1"/>
          <c:order val="1"/>
          <c:tx>
            <c:v>Run 2</c:v>
          </c:tx>
          <c:spPr>
            <a:solidFill xmlns:a="http://schemas.openxmlformats.org/drawingml/2006/main">
              <a:srgbClr val="419C85"/>
            </a:solidFill>
          </c:spPr>
          <c:invertIfNegative val="0"/>
          <c:cat>
            <c:strRef>
              <c:f>'Conditions'!$B$35:$B$50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'Conditions'!$E$35:$E$50</c:f>
              <c:numCache>
                <c:formatCode>0.000</c:formatCode>
                <c:ptCount val="16"/>
                <c:pt idx="0">
                  <c:v>0.1362085</c:v>
                </c:pt>
                <c:pt idx="1">
                  <c:v>0.1395565</c:v>
                </c:pt>
                <c:pt idx="2">
                  <c:v>0.146329</c:v>
                </c:pt>
                <c:pt idx="3">
                  <c:v>0.1447905</c:v>
                </c:pt>
                <c:pt idx="4">
                  <c:v>0.1579685</c:v>
                </c:pt>
                <c:pt idx="5">
                  <c:v>0.1627445</c:v>
                </c:pt>
                <c:pt idx="6">
                  <c:v>0.142662</c:v>
                </c:pt>
                <c:pt idx="7">
                  <c:v>0.1458585</c:v>
                </c:pt>
                <c:pt idx="8">
                  <c:v>0.14737850000000002</c:v>
                </c:pt>
                <c:pt idx="9">
                  <c:v>0.13775700000000002</c:v>
                </c:pt>
                <c:pt idx="10">
                  <c:v>0.1417745</c:v>
                </c:pt>
                <c:pt idx="11">
                  <c:v>0.1347685</c:v>
                </c:pt>
                <c:pt idx="12">
                  <c:v>0.1509</c:v>
                </c:pt>
                <c:pt idx="13">
                  <c:v>0.150982</c:v>
                </c:pt>
                <c:pt idx="14">
                  <c:v>0.15818900000000002</c:v>
                </c:pt>
                <c:pt idx="15">
                  <c:v>2.6757305000000002</c:v>
                </c:pt>
              </c:numCache>
            </c:numRef>
          </c:val>
        </c:ser>
        <c:ser>
          <c:idx val="2"/>
          <c:order val="2"/>
          <c:tx>
            <c:v>Run 3</c:v>
          </c:tx>
          <c:spPr>
            <a:solidFill xmlns:a="http://schemas.openxmlformats.org/drawingml/2006/main">
              <a:srgbClr val="D59A45"/>
            </a:solidFill>
          </c:spPr>
          <c:invertIfNegative val="0"/>
          <c:cat>
            <c:strRef>
              <c:f>'Conditions'!$B$35:$B$50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'Conditions'!$F$35:$F$50</c:f>
              <c:numCache>
                <c:formatCode>0.000</c:formatCode>
                <c:ptCount val="16"/>
                <c:pt idx="0">
                  <c:v>0.1343975</c:v>
                </c:pt>
                <c:pt idx="1">
                  <c:v>0.136108</c:v>
                </c:pt>
                <c:pt idx="2">
                  <c:v>0.1516875</c:v>
                </c:pt>
                <c:pt idx="3">
                  <c:v>0.1441695</c:v>
                </c:pt>
                <c:pt idx="4">
                  <c:v>0.1624405</c:v>
                </c:pt>
                <c:pt idx="5">
                  <c:v>0.164857</c:v>
                </c:pt>
                <c:pt idx="6">
                  <c:v>0.1420905</c:v>
                </c:pt>
                <c:pt idx="7">
                  <c:v>0.1470985</c:v>
                </c:pt>
                <c:pt idx="8">
                  <c:v>0.144858</c:v>
                </c:pt>
                <c:pt idx="9">
                  <c:v>0.13796999999999998</c:v>
                </c:pt>
                <c:pt idx="10">
                  <c:v>0.138581</c:v>
                </c:pt>
                <c:pt idx="11">
                  <c:v>0.1370805</c:v>
                </c:pt>
                <c:pt idx="12">
                  <c:v>0.1519485</c:v>
                </c:pt>
                <c:pt idx="13">
                  <c:v>0.1508815</c:v>
                </c:pt>
                <c:pt idx="14">
                  <c:v>0.1563545</c:v>
                </c:pt>
                <c:pt idx="15">
                  <c:v>2.6484240000000003</c:v>
                </c:pt>
              </c:numCache>
            </c:numRef>
          </c:val>
        </c:ser>
        <c:ser>
          <c:idx val="3"/>
          <c:order val="3"/>
          <c:tx>
            <c:v>Mean</c:v>
          </c:tx>
          <c:spPr>
            <a:solidFill xmlns:a="http://schemas.openxmlformats.org/drawingml/2006/main">
              <a:srgbClr val="22384F"/>
            </a:solidFill>
          </c:spPr>
          <c:invertIfNegative val="0"/>
          <c:cat>
            <c:strRef>
              <c:f>'Conditions'!$B$35:$B$50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'Conditions'!$G$35:$G$50</c:f>
              <c:numCache>
                <c:formatCode>0.000</c:formatCode>
                <c:ptCount val="16"/>
                <c:pt idx="0">
                  <c:v>0.13511350000000003</c:v>
                </c:pt>
                <c:pt idx="1">
                  <c:v>0.13819716666666668</c:v>
                </c:pt>
                <c:pt idx="2">
                  <c:v>0.14880233333333334</c:v>
                </c:pt>
                <c:pt idx="3">
                  <c:v>0.14556466666666665</c:v>
                </c:pt>
                <c:pt idx="4">
                  <c:v>0.16058433333333333</c:v>
                </c:pt>
                <c:pt idx="5">
                  <c:v>0.16373066666666666</c:v>
                </c:pt>
                <c:pt idx="6">
                  <c:v>0.14323566666666668</c:v>
                </c:pt>
                <c:pt idx="7">
                  <c:v>0.13057116666666665</c:v>
                </c:pt>
                <c:pt idx="8">
                  <c:v>0.12800599999999998</c:v>
                </c:pt>
                <c:pt idx="9">
                  <c:v>0.13822183333333335</c:v>
                </c:pt>
                <c:pt idx="10">
                  <c:v>0.14041666666666666</c:v>
                </c:pt>
                <c:pt idx="11">
                  <c:v>0.13229783333333334</c:v>
                </c:pt>
                <c:pt idx="12">
                  <c:v>0.15143083333333335</c:v>
                </c:pt>
                <c:pt idx="13">
                  <c:v>0.15125016666666666</c:v>
                </c:pt>
                <c:pt idx="14">
                  <c:v>0.15806283333333335</c:v>
                </c:pt>
                <c:pt idx="15">
                  <c:v>3.128284166666667</c:v>
                </c:pt>
              </c:numCache>
            </c:numRef>
          </c:val>
        </c:ser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6668">
              <a:solidFill>
                <a:srgbClr val="D8E1EB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Median response (ms)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75">
                <a:latin typeface="Arial"/>
                <a:ea typeface="Arial"/>
                <a:cs typeface="Arial"/>
              </a:rPr>
              <a:t>p99 response time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Run 1</c:v>
          </c:tx>
          <c:spPr>
            <a:solidFill xmlns:a="http://schemas.openxmlformats.org/drawingml/2006/main">
              <a:srgbClr val="287DB5"/>
            </a:solidFill>
          </c:spPr>
          <c:invertIfNegative val="0"/>
          <c:cat>
            <c:strRef>
              <c:f>'Conditions'!$B$58:$B$73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'Conditions'!$D$58:$D$73</c:f>
              <c:numCache>
                <c:formatCode>0.000</c:formatCode>
                <c:ptCount val="16"/>
                <c:pt idx="0">
                  <c:v>0.156826</c:v>
                </c:pt>
                <c:pt idx="1">
                  <c:v>0.165871</c:v>
                </c:pt>
                <c:pt idx="2">
                  <c:v>0.185474</c:v>
                </c:pt>
                <c:pt idx="3">
                  <c:v>0.234399</c:v>
                </c:pt>
                <c:pt idx="4">
                  <c:v>0.194704</c:v>
                </c:pt>
                <c:pt idx="5">
                  <c:v>0.188515</c:v>
                </c:pt>
                <c:pt idx="6">
                  <c:v>0.222837</c:v>
                </c:pt>
                <c:pt idx="7">
                  <c:v>0.340124</c:v>
                </c:pt>
                <c:pt idx="8">
                  <c:v>0.497044</c:v>
                </c:pt>
                <c:pt idx="9">
                  <c:v>0.158879</c:v>
                </c:pt>
                <c:pt idx="10">
                  <c:v>0.173526</c:v>
                </c:pt>
                <c:pt idx="11">
                  <c:v>0.157691</c:v>
                </c:pt>
                <c:pt idx="12">
                  <c:v>0.188976</c:v>
                </c:pt>
                <c:pt idx="13">
                  <c:v>2.506843</c:v>
                </c:pt>
                <c:pt idx="14">
                  <c:v>2.636623</c:v>
                </c:pt>
                <c:pt idx="15">
                  <c:v>4.108801</c:v>
                </c:pt>
              </c:numCache>
            </c:numRef>
          </c:val>
        </c:ser>
        <c:ser>
          <c:idx val="1"/>
          <c:order val="1"/>
          <c:tx>
            <c:v>Run 2</c:v>
          </c:tx>
          <c:spPr>
            <a:solidFill xmlns:a="http://schemas.openxmlformats.org/drawingml/2006/main">
              <a:srgbClr val="419C85"/>
            </a:solidFill>
          </c:spPr>
          <c:invertIfNegative val="0"/>
          <c:cat>
            <c:strRef>
              <c:f>'Conditions'!$B$58:$B$73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'Conditions'!$E$58:$E$73</c:f>
              <c:numCache>
                <c:formatCode>0.000</c:formatCode>
                <c:ptCount val="16"/>
                <c:pt idx="0">
                  <c:v>0.15615</c:v>
                </c:pt>
                <c:pt idx="1">
                  <c:v>0.160804</c:v>
                </c:pt>
                <c:pt idx="2">
                  <c:v>0.170059</c:v>
                </c:pt>
                <c:pt idx="3">
                  <c:v>0.217235</c:v>
                </c:pt>
                <c:pt idx="4">
                  <c:v>0.186885</c:v>
                </c:pt>
                <c:pt idx="5">
                  <c:v>0.191256</c:v>
                </c:pt>
                <c:pt idx="6">
                  <c:v>0.205653</c:v>
                </c:pt>
                <c:pt idx="7">
                  <c:v>0.18607</c:v>
                </c:pt>
                <c:pt idx="8">
                  <c:v>0.329681</c:v>
                </c:pt>
                <c:pt idx="9">
                  <c:v>0.158153</c:v>
                </c:pt>
                <c:pt idx="10">
                  <c:v>0.161416</c:v>
                </c:pt>
                <c:pt idx="11">
                  <c:v>0.156837</c:v>
                </c:pt>
                <c:pt idx="12">
                  <c:v>0.18041</c:v>
                </c:pt>
                <c:pt idx="13">
                  <c:v>2.673165</c:v>
                </c:pt>
                <c:pt idx="14">
                  <c:v>3.617209</c:v>
                </c:pt>
                <c:pt idx="15">
                  <c:v>2.703571</c:v>
                </c:pt>
              </c:numCache>
            </c:numRef>
          </c:val>
        </c:ser>
        <c:ser>
          <c:idx val="2"/>
          <c:order val="2"/>
          <c:tx>
            <c:v>Run 3</c:v>
          </c:tx>
          <c:spPr>
            <a:solidFill xmlns:a="http://schemas.openxmlformats.org/drawingml/2006/main">
              <a:srgbClr val="D59A45"/>
            </a:solidFill>
          </c:spPr>
          <c:invertIfNegative val="0"/>
          <c:cat>
            <c:strRef>
              <c:f>'Conditions'!$B$58:$B$73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'Conditions'!$F$58:$F$73</c:f>
              <c:numCache>
                <c:formatCode>0.000</c:formatCode>
                <c:ptCount val="16"/>
                <c:pt idx="0">
                  <c:v>0.15949</c:v>
                </c:pt>
                <c:pt idx="1">
                  <c:v>0.159643</c:v>
                </c:pt>
                <c:pt idx="2">
                  <c:v>0.177065</c:v>
                </c:pt>
                <c:pt idx="3">
                  <c:v>0.209922</c:v>
                </c:pt>
                <c:pt idx="4">
                  <c:v>0.184151</c:v>
                </c:pt>
                <c:pt idx="5">
                  <c:v>0.194721</c:v>
                </c:pt>
                <c:pt idx="6">
                  <c:v>0.162102</c:v>
                </c:pt>
                <c:pt idx="7">
                  <c:v>0.191608</c:v>
                </c:pt>
                <c:pt idx="8">
                  <c:v>0.189248</c:v>
                </c:pt>
                <c:pt idx="9">
                  <c:v>0.15985</c:v>
                </c:pt>
                <c:pt idx="10">
                  <c:v>0.157749</c:v>
                </c:pt>
                <c:pt idx="11">
                  <c:v>0.162156</c:v>
                </c:pt>
                <c:pt idx="12">
                  <c:v>0.187925</c:v>
                </c:pt>
                <c:pt idx="13">
                  <c:v>2.565668</c:v>
                </c:pt>
                <c:pt idx="14">
                  <c:v>2.670888</c:v>
                </c:pt>
                <c:pt idx="15">
                  <c:v>2.674644</c:v>
                </c:pt>
              </c:numCache>
            </c:numRef>
          </c:val>
        </c:ser>
        <c:ser>
          <c:idx val="3"/>
          <c:order val="3"/>
          <c:tx>
            <c:v>Mean</c:v>
          </c:tx>
          <c:spPr>
            <a:solidFill xmlns:a="http://schemas.openxmlformats.org/drawingml/2006/main">
              <a:srgbClr val="22384F"/>
            </a:solidFill>
          </c:spPr>
          <c:invertIfNegative val="0"/>
          <c:cat>
            <c:strRef>
              <c:f>'Conditions'!$B$58:$B$73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'Conditions'!$G$58:$G$73</c:f>
              <c:numCache>
                <c:formatCode>0.000</c:formatCode>
                <c:ptCount val="16"/>
                <c:pt idx="0">
                  <c:v>0.1574886666666667</c:v>
                </c:pt>
                <c:pt idx="1">
                  <c:v>0.162106</c:v>
                </c:pt>
                <c:pt idx="2">
                  <c:v>0.17753266666666667</c:v>
                </c:pt>
                <c:pt idx="3">
                  <c:v>0.22051866666666667</c:v>
                </c:pt>
                <c:pt idx="4">
                  <c:v>0.18857999999999997</c:v>
                </c:pt>
                <c:pt idx="5">
                  <c:v>0.19149733333333332</c:v>
                </c:pt>
                <c:pt idx="6">
                  <c:v>0.196864</c:v>
                </c:pt>
                <c:pt idx="7">
                  <c:v>0.23926733333333336</c:v>
                </c:pt>
                <c:pt idx="8">
                  <c:v>0.3386576666666667</c:v>
                </c:pt>
                <c:pt idx="9">
                  <c:v>0.15896066666666667</c:v>
                </c:pt>
                <c:pt idx="10">
                  <c:v>0.16423033333333334</c:v>
                </c:pt>
                <c:pt idx="11">
                  <c:v>0.15889466666666666</c:v>
                </c:pt>
                <c:pt idx="12">
                  <c:v>0.18577033333333334</c:v>
                </c:pt>
                <c:pt idx="13">
                  <c:v>2.581892</c:v>
                </c:pt>
                <c:pt idx="14">
                  <c:v>2.974906666666667</c:v>
                </c:pt>
                <c:pt idx="15">
                  <c:v>3.162338666666667</c:v>
                </c:pt>
              </c:numCache>
            </c:numRef>
          </c:val>
        </c:ser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6668">
              <a:solidFill>
                <a:srgbClr val="D8E1EB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p99 response (ms)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75">
                <a:latin typeface="Arial"/>
                <a:ea typeface="Arial"/>
                <a:cs typeface="Arial"/>
              </a:rPr>
              <a:t>Maximum deadline overrun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Run 1</c:v>
          </c:tx>
          <c:spPr>
            <a:solidFill xmlns:a="http://schemas.openxmlformats.org/drawingml/2006/main">
              <a:srgbClr val="287DB5"/>
            </a:solidFill>
          </c:spPr>
          <c:invertIfNegative val="0"/>
          <c:cat>
            <c:strRef>
              <c:f>'Conditions'!$B$81:$B$96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'Conditions'!$D$81:$D$96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245.159335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Run 2</c:v>
          </c:tx>
          <c:spPr>
            <a:solidFill xmlns:a="http://schemas.openxmlformats.org/drawingml/2006/main">
              <a:srgbClr val="419C85"/>
            </a:solidFill>
          </c:spPr>
          <c:invertIfNegative val="0"/>
          <c:cat>
            <c:strRef>
              <c:f>'Conditions'!$B$81:$B$96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'Conditions'!$E$81:$E$96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2"/>
          <c:order val="2"/>
          <c:tx>
            <c:v>Run 3</c:v>
          </c:tx>
          <c:spPr>
            <a:solidFill xmlns:a="http://schemas.openxmlformats.org/drawingml/2006/main">
              <a:srgbClr val="D59A45"/>
            </a:solidFill>
          </c:spPr>
          <c:invertIfNegative val="0"/>
          <c:cat>
            <c:strRef>
              <c:f>'Conditions'!$B$81:$B$96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'Conditions'!$F$81:$F$96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3"/>
          <c:order val="3"/>
          <c:tx>
            <c:v>Mean</c:v>
          </c:tx>
          <c:spPr>
            <a:solidFill xmlns:a="http://schemas.openxmlformats.org/drawingml/2006/main">
              <a:srgbClr val="22384F"/>
            </a:solidFill>
          </c:spPr>
          <c:invertIfNegative val="0"/>
          <c:cat>
            <c:strRef>
              <c:f>'Conditions'!$B$81:$B$96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'Conditions'!$G$81:$G$96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81.71977833333334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6668">
              <a:solidFill>
                <a:srgbClr val="D8E1EB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Lateness beyond deadline (ms)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75">
                <a:latin typeface="Arial"/>
                <a:ea typeface="Arial"/>
                <a:cs typeface="Arial"/>
              </a:rPr>
              <a:t>Maximum acquisition gap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Run 1</c:v>
          </c:tx>
          <c:spPr>
            <a:solidFill xmlns:a="http://schemas.openxmlformats.org/drawingml/2006/main">
              <a:srgbClr val="287DB5"/>
            </a:solidFill>
          </c:spPr>
          <c:invertIfNegative val="0"/>
          <c:cat>
            <c:strRef>
              <c:f>'Conditions'!$B$104:$B$119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'Conditions'!$D$104:$D$119</c:f>
              <c:numCache>
                <c:formatCode>0.000</c:formatCode>
                <c:ptCount val="16"/>
                <c:pt idx="0">
                  <c:v>100.046778</c:v>
                </c:pt>
                <c:pt idx="1">
                  <c:v>100.032046</c:v>
                </c:pt>
                <c:pt idx="2">
                  <c:v>100.033387</c:v>
                </c:pt>
                <c:pt idx="3">
                  <c:v>100.359038</c:v>
                </c:pt>
                <c:pt idx="4">
                  <c:v>100.079701</c:v>
                </c:pt>
                <c:pt idx="5">
                  <c:v>100.060203</c:v>
                </c:pt>
                <c:pt idx="6">
                  <c:v>100.16506</c:v>
                </c:pt>
                <c:pt idx="7">
                  <c:v>103.539944</c:v>
                </c:pt>
                <c:pt idx="8">
                  <c:v>444.745896</c:v>
                </c:pt>
                <c:pt idx="9">
                  <c:v>100.060813</c:v>
                </c:pt>
                <c:pt idx="10">
                  <c:v>100.068621</c:v>
                </c:pt>
                <c:pt idx="11">
                  <c:v>100.06578</c:v>
                </c:pt>
                <c:pt idx="12">
                  <c:v>102.509144</c:v>
                </c:pt>
                <c:pt idx="13">
                  <c:v>102.389349</c:v>
                </c:pt>
                <c:pt idx="14">
                  <c:v>102.506801</c:v>
                </c:pt>
                <c:pt idx="15">
                  <c:v>103.920901</c:v>
                </c:pt>
              </c:numCache>
            </c:numRef>
          </c:val>
        </c:ser>
        <c:ser>
          <c:idx val="1"/>
          <c:order val="1"/>
          <c:tx>
            <c:v>Run 2</c:v>
          </c:tx>
          <c:spPr>
            <a:solidFill xmlns:a="http://schemas.openxmlformats.org/drawingml/2006/main">
              <a:srgbClr val="419C85"/>
            </a:solidFill>
          </c:spPr>
          <c:invertIfNegative val="0"/>
          <c:cat>
            <c:strRef>
              <c:f>'Conditions'!$B$104:$B$119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'Conditions'!$E$104:$E$119</c:f>
              <c:numCache>
                <c:formatCode>0.000</c:formatCode>
                <c:ptCount val="16"/>
                <c:pt idx="0">
                  <c:v>100.071631</c:v>
                </c:pt>
                <c:pt idx="1">
                  <c:v>100.031394</c:v>
                </c:pt>
                <c:pt idx="2">
                  <c:v>102.702928</c:v>
                </c:pt>
                <c:pt idx="3">
                  <c:v>100.112216</c:v>
                </c:pt>
                <c:pt idx="4">
                  <c:v>102.496544</c:v>
                </c:pt>
                <c:pt idx="5">
                  <c:v>100.051121</c:v>
                </c:pt>
                <c:pt idx="6">
                  <c:v>103.128378</c:v>
                </c:pt>
                <c:pt idx="7">
                  <c:v>100.086671</c:v>
                </c:pt>
                <c:pt idx="8">
                  <c:v>100.567617</c:v>
                </c:pt>
                <c:pt idx="9">
                  <c:v>100.047874</c:v>
                </c:pt>
                <c:pt idx="10">
                  <c:v>100.061917</c:v>
                </c:pt>
                <c:pt idx="11">
                  <c:v>100.051955</c:v>
                </c:pt>
                <c:pt idx="12">
                  <c:v>102.496611</c:v>
                </c:pt>
                <c:pt idx="13">
                  <c:v>102.529553</c:v>
                </c:pt>
                <c:pt idx="14">
                  <c:v>103.48382</c:v>
                </c:pt>
                <c:pt idx="15">
                  <c:v>103.990136</c:v>
                </c:pt>
              </c:numCache>
            </c:numRef>
          </c:val>
        </c:ser>
        <c:ser>
          <c:idx val="2"/>
          <c:order val="2"/>
          <c:tx>
            <c:v>Run 3</c:v>
          </c:tx>
          <c:spPr>
            <a:solidFill xmlns:a="http://schemas.openxmlformats.org/drawingml/2006/main">
              <a:srgbClr val="D59A45"/>
            </a:solidFill>
          </c:spPr>
          <c:invertIfNegative val="0"/>
          <c:cat>
            <c:strRef>
              <c:f>'Conditions'!$B$104:$B$119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'Conditions'!$F$104:$F$119</c:f>
              <c:numCache>
                <c:formatCode>0.000</c:formatCode>
                <c:ptCount val="16"/>
                <c:pt idx="0">
                  <c:v>100.064664</c:v>
                </c:pt>
                <c:pt idx="1">
                  <c:v>100.073249</c:v>
                </c:pt>
                <c:pt idx="2">
                  <c:v>100.368506</c:v>
                </c:pt>
                <c:pt idx="3">
                  <c:v>100.196406</c:v>
                </c:pt>
                <c:pt idx="4">
                  <c:v>100.059848</c:v>
                </c:pt>
                <c:pt idx="5">
                  <c:v>100.054906</c:v>
                </c:pt>
                <c:pt idx="6">
                  <c:v>100.066863</c:v>
                </c:pt>
                <c:pt idx="7">
                  <c:v>103.221642</c:v>
                </c:pt>
                <c:pt idx="8">
                  <c:v>102.838678</c:v>
                </c:pt>
                <c:pt idx="9">
                  <c:v>100.035975</c:v>
                </c:pt>
                <c:pt idx="10">
                  <c:v>100.049856</c:v>
                </c:pt>
                <c:pt idx="11">
                  <c:v>100.072808</c:v>
                </c:pt>
                <c:pt idx="12">
                  <c:v>102.480107</c:v>
                </c:pt>
                <c:pt idx="13">
                  <c:v>102.42419</c:v>
                </c:pt>
                <c:pt idx="14">
                  <c:v>102.536728</c:v>
                </c:pt>
                <c:pt idx="15">
                  <c:v>102.504652</c:v>
                </c:pt>
              </c:numCache>
            </c:numRef>
          </c:val>
        </c:ser>
        <c:ser>
          <c:idx val="3"/>
          <c:order val="3"/>
          <c:tx>
            <c:v>Mean</c:v>
          </c:tx>
          <c:spPr>
            <a:solidFill xmlns:a="http://schemas.openxmlformats.org/drawingml/2006/main">
              <a:srgbClr val="22384F"/>
            </a:solidFill>
          </c:spPr>
          <c:invertIfNegative val="0"/>
          <c:cat>
            <c:strRef>
              <c:f>'Conditions'!$B$104:$B$119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'Conditions'!$G$104:$G$119</c:f>
              <c:numCache>
                <c:formatCode>0.000</c:formatCode>
                <c:ptCount val="16"/>
                <c:pt idx="0">
                  <c:v>100.06102433333332</c:v>
                </c:pt>
                <c:pt idx="1">
                  <c:v>100.04556300000002</c:v>
                </c:pt>
                <c:pt idx="2">
                  <c:v>101.03494033333334</c:v>
                </c:pt>
                <c:pt idx="3">
                  <c:v>100.22255333333332</c:v>
                </c:pt>
                <c:pt idx="4">
                  <c:v>100.87869766666667</c:v>
                </c:pt>
                <c:pt idx="5">
                  <c:v>100.05541</c:v>
                </c:pt>
                <c:pt idx="6">
                  <c:v>101.12010033333333</c:v>
                </c:pt>
                <c:pt idx="7">
                  <c:v>102.28275233333333</c:v>
                </c:pt>
                <c:pt idx="8">
                  <c:v>216.05073033333335</c:v>
                </c:pt>
                <c:pt idx="9">
                  <c:v>100.04822066666667</c:v>
                </c:pt>
                <c:pt idx="10">
                  <c:v>100.06013133333333</c:v>
                </c:pt>
                <c:pt idx="11">
                  <c:v>100.06351433333333</c:v>
                </c:pt>
                <c:pt idx="12">
                  <c:v>102.49528733333334</c:v>
                </c:pt>
                <c:pt idx="13">
                  <c:v>102.44769733333334</c:v>
                </c:pt>
                <c:pt idx="14">
                  <c:v>102.84244966666665</c:v>
                </c:pt>
                <c:pt idx="15">
                  <c:v>103.47189633333335</c:v>
                </c:pt>
              </c:numCache>
            </c:numRef>
          </c:val>
        </c:ser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6668">
              <a:solidFill>
                <a:srgbClr val="D8E1EB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Maximum acquisition gap (ms)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75">
                <a:latin typeface="Arial"/>
                <a:ea typeface="Arial"/>
                <a:cs typeface="Arial"/>
              </a:rPr>
              <a:t>Longest consecutive miss sequence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Run 1</c:v>
          </c:tx>
          <c:spPr>
            <a:solidFill xmlns:a="http://schemas.openxmlformats.org/drawingml/2006/main">
              <a:srgbClr val="287DB5"/>
            </a:solidFill>
          </c:spPr>
          <c:invertIfNegative val="0"/>
          <c:cat>
            <c:strRef>
              <c:f>'Conditions'!$B$127:$B$142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'Conditions'!$D$127:$D$142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Run 2</c:v>
          </c:tx>
          <c:spPr>
            <a:solidFill xmlns:a="http://schemas.openxmlformats.org/drawingml/2006/main">
              <a:srgbClr val="419C85"/>
            </a:solidFill>
          </c:spPr>
          <c:invertIfNegative val="0"/>
          <c:cat>
            <c:strRef>
              <c:f>'Conditions'!$B$127:$B$142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'Conditions'!$E$127:$E$142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2"/>
          <c:order val="2"/>
          <c:tx>
            <c:v>Run 3</c:v>
          </c:tx>
          <c:spPr>
            <a:solidFill xmlns:a="http://schemas.openxmlformats.org/drawingml/2006/main">
              <a:srgbClr val="D59A45"/>
            </a:solidFill>
          </c:spPr>
          <c:invertIfNegative val="0"/>
          <c:cat>
            <c:strRef>
              <c:f>'Conditions'!$B$127:$B$142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'Conditions'!$F$127:$F$142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3"/>
          <c:order val="3"/>
          <c:tx>
            <c:v>Mean</c:v>
          </c:tx>
          <c:spPr>
            <a:solidFill xmlns:a="http://schemas.openxmlformats.org/drawingml/2006/main">
              <a:srgbClr val="22384F"/>
            </a:solidFill>
          </c:spPr>
          <c:invertIfNegative val="0"/>
          <c:cat>
            <c:strRef>
              <c:f>'Conditions'!$B$127:$B$142</c:f>
              <c:strCache>
                <c:ptCount val="16"/>
                <c:pt idx="0">
                  <c:v>Base</c:v>
                </c:pt>
                <c:pt idx="1">
                  <c:v>Cores
3</c:v>
                </c:pt>
                <c:pt idx="2">
                  <c:v>Cores
2</c:v>
                </c:pt>
                <c:pt idx="3">
                  <c:v>Cores
1</c:v>
                </c:pt>
                <c:pt idx="4">
                  <c:v>Gov
power</c:v>
                </c:pt>
                <c:pt idx="5">
                  <c:v>Gov
on-demand</c:v>
                </c:pt>
                <c:pt idx="6">
                  <c:v>RAM
4 GiB</c:v>
                </c:pt>
                <c:pt idx="7">
                  <c:v>RAM
2 GiB</c:v>
                </c:pt>
                <c:pt idx="8">
                  <c:v>RAM
1.5 GiB</c:v>
                </c:pt>
                <c:pt idx="9">
                  <c:v>Net
10M</c:v>
                </c:pt>
                <c:pt idx="10">
                  <c:v>Net
50M</c:v>
                </c:pt>
                <c:pt idx="11">
                  <c:v>Pinned
quiet</c:v>
                </c:pt>
                <c:pt idx="12">
                  <c:v>Nice
-10</c:v>
                </c:pt>
                <c:pt idx="13">
                  <c:v>Nice
0</c:v>
                </c:pt>
                <c:pt idx="14">
                  <c:v>Nice
+10</c:v>
                </c:pt>
                <c:pt idx="15">
                  <c:v>Nice
+19</c:v>
                </c:pt>
              </c:strCache>
            </c:strRef>
          </c:cat>
          <c:val>
            <c:numRef>
              <c:f>'Conditions'!$G$127:$G$142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1.3333333333333333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6668">
              <a:solidFill>
                <a:srgbClr val="D8E1EB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Longest sequence (scheduled slots)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75">
                <a:latin typeface="Arial"/>
                <a:ea typeface="Arial"/>
                <a:cs typeface="Arial"/>
              </a:rPr>
              <a:t>Response near the missed deadlines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Response (ms)</c:v>
          </c:tx>
          <c:spPr>
            <a:ln xmlns:a="http://schemas.openxmlformats.org/drawingml/2006/main" w="19050">
              <a:solidFill>
                <a:srgbClr val="B06820"/>
              </a:solidFill>
              <a:prstDash val="solid"/>
            </a:ln>
          </c:spPr>
          <c:marker>
            <c:symbol val="none"/>
          </c:marker>
          <c:cat>
            <c:strRef>
              <c:f>'Stall detail'!$O$9:$O$27</c:f>
              <c:strCache>
                <c:ptCount val="19"/>
                <c:pt idx="0">
                  <c:v>12.6</c:v>
                </c:pt>
                <c:pt idx="1">
                  <c:v>12.7</c:v>
                </c:pt>
                <c:pt idx="2">
                  <c:v>12.8</c:v>
                </c:pt>
                <c:pt idx="3">
                  <c:v>12.9</c:v>
                </c:pt>
                <c:pt idx="4">
                  <c:v>13</c:v>
                </c:pt>
                <c:pt idx="5">
                  <c:v>13.1</c:v>
                </c:pt>
                <c:pt idx="6">
                  <c:v>13.2</c:v>
                </c:pt>
                <c:pt idx="7">
                  <c:v>13.3</c:v>
                </c:pt>
                <c:pt idx="8">
                  <c:v>13.4</c:v>
                </c:pt>
                <c:pt idx="9">
                  <c:v>13.5</c:v>
                </c:pt>
                <c:pt idx="10">
                  <c:v>13.6</c:v>
                </c:pt>
                <c:pt idx="11">
                  <c:v>13.7</c:v>
                </c:pt>
                <c:pt idx="12">
                  <c:v>13.8</c:v>
                </c:pt>
                <c:pt idx="13">
                  <c:v>13.9</c:v>
                </c:pt>
                <c:pt idx="14">
                  <c:v>14</c:v>
                </c:pt>
                <c:pt idx="15">
                  <c:v>14.1</c:v>
                </c:pt>
                <c:pt idx="16">
                  <c:v>14.2</c:v>
                </c:pt>
                <c:pt idx="17">
                  <c:v>14.3</c:v>
                </c:pt>
                <c:pt idx="18">
                  <c:v>14.4</c:v>
                </c:pt>
              </c:strCache>
            </c:strRef>
          </c:cat>
          <c:val>
            <c:numRef>
              <c:f>'Stall detail'!$P$9:$P$27</c:f>
              <c:numCache>
                <c:formatCode>0.000</c:formatCode>
                <c:ptCount val="19"/>
                <c:pt idx="0">
                  <c:v>0.156822</c:v>
                </c:pt>
                <c:pt idx="1">
                  <c:v>0.147755</c:v>
                </c:pt>
                <c:pt idx="2">
                  <c:v>0.159927</c:v>
                </c:pt>
                <c:pt idx="3">
                  <c:v>0.151203</c:v>
                </c:pt>
                <c:pt idx="4">
                  <c:v>0.141369</c:v>
                </c:pt>
                <c:pt idx="5">
                  <c:v>106.222463</c:v>
                </c:pt>
                <c:pt idx="7">
                  <c:v>0.497044</c:v>
                </c:pt>
                <c:pt idx="8">
                  <c:v>345.159335</c:v>
                </c:pt>
                <c:pt idx="12">
                  <c:v>0.144576</c:v>
                </c:pt>
                <c:pt idx="13">
                  <c:v>0.118045</c:v>
                </c:pt>
                <c:pt idx="14">
                  <c:v>0.099421</c:v>
                </c:pt>
                <c:pt idx="15">
                  <c:v>0.093612</c:v>
                </c:pt>
                <c:pt idx="16">
                  <c:v>0.537312</c:v>
                </c:pt>
                <c:pt idx="17">
                  <c:v>0.160988</c:v>
                </c:pt>
                <c:pt idx="18">
                  <c:v>0.176603</c:v>
                </c:pt>
              </c:numCache>
            </c:numRef>
          </c:val>
          <c:smooth val="0"/>
        </c:ser>
        <c:ser>
          <c:idx val="1"/>
          <c:order val="1"/>
          <c:tx>
            <c:v>Deadline (ms)</c:v>
          </c:tx>
          <c:spPr>
            <a:ln xmlns:a="http://schemas.openxmlformats.org/drawingml/2006/main" w="14288">
              <a:solidFill>
                <a:srgbClr val="B34E59"/>
              </a:solidFill>
              <a:prstDash val="dash"/>
            </a:ln>
          </c:spPr>
          <c:marker>
            <c:symbol val="none"/>
          </c:marker>
          <c:cat>
            <c:strRef>
              <c:f>'Stall detail'!$O$9:$O$27</c:f>
              <c:strCache>
                <c:ptCount val="19"/>
                <c:pt idx="0">
                  <c:v>12.6</c:v>
                </c:pt>
                <c:pt idx="1">
                  <c:v>12.7</c:v>
                </c:pt>
                <c:pt idx="2">
                  <c:v>12.8</c:v>
                </c:pt>
                <c:pt idx="3">
                  <c:v>12.9</c:v>
                </c:pt>
                <c:pt idx="4">
                  <c:v>13</c:v>
                </c:pt>
                <c:pt idx="5">
                  <c:v>13.1</c:v>
                </c:pt>
                <c:pt idx="6">
                  <c:v>13.2</c:v>
                </c:pt>
                <c:pt idx="7">
                  <c:v>13.3</c:v>
                </c:pt>
                <c:pt idx="8">
                  <c:v>13.4</c:v>
                </c:pt>
                <c:pt idx="9">
                  <c:v>13.5</c:v>
                </c:pt>
                <c:pt idx="10">
                  <c:v>13.6</c:v>
                </c:pt>
                <c:pt idx="11">
                  <c:v>13.7</c:v>
                </c:pt>
                <c:pt idx="12">
                  <c:v>13.8</c:v>
                </c:pt>
                <c:pt idx="13">
                  <c:v>13.9</c:v>
                </c:pt>
                <c:pt idx="14">
                  <c:v>14</c:v>
                </c:pt>
                <c:pt idx="15">
                  <c:v>14.1</c:v>
                </c:pt>
                <c:pt idx="16">
                  <c:v>14.2</c:v>
                </c:pt>
                <c:pt idx="17">
                  <c:v>14.3</c:v>
                </c:pt>
                <c:pt idx="18">
                  <c:v>14.4</c:v>
                </c:pt>
              </c:strCache>
            </c:strRef>
          </c:cat>
          <c:val>
            <c:numRef>
              <c:f>'Stall detail'!$Q$9:$Q$27</c:f>
              <c:numCache>
                <c:formatCode>0.000</c:formatCode>
                <c:ptCount val="1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Time from collection start (s)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ickLblSkip val="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Response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7</xdr:row>
      <xdr:rowOff>0</xdr:rowOff>
    </xdr:from>
    <xdr:to>
      <xdr:col>19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f8585f5418467f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19</xdr:col>
      <xdr:colOff>0</xdr:colOff>
      <xdr:row>74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577cd00d5347fc"/>
        </a:graphicData>
      </a:graphic>
    </xdr:graphicFrame>
    <xdr:clientData/>
  </xdr:twoCellAnchor>
  <xdr:twoCellAnchor>
    <xdr:from>
      <xdr:col>1</xdr:col>
      <xdr:colOff>0</xdr:colOff>
      <xdr:row>83</xdr:row>
      <xdr:rowOff>0</xdr:rowOff>
    </xdr:from>
    <xdr:to>
      <xdr:col>19</xdr:col>
      <xdr:colOff>0</xdr:colOff>
      <xdr:row>112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19166e9a674ebc"/>
        </a:graphicData>
      </a:graphic>
    </xdr:graphicFrame>
    <xdr:clientData/>
  </xdr:twoCellAnchor>
  <xdr:twoCellAnchor>
    <xdr:from>
      <xdr:col>1</xdr:col>
      <xdr:colOff>0</xdr:colOff>
      <xdr:row>121</xdr:row>
      <xdr:rowOff>0</xdr:rowOff>
    </xdr:from>
    <xdr:to>
      <xdr:col>19</xdr:col>
      <xdr:colOff>0</xdr:colOff>
      <xdr:row>150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2206bbc63d4ad6"/>
        </a:graphicData>
      </a:graphic>
    </xdr:graphicFrame>
    <xdr:clientData/>
  </xdr:twoCellAnchor>
  <xdr:twoCellAnchor>
    <xdr:from>
      <xdr:col>1</xdr:col>
      <xdr:colOff>0</xdr:colOff>
      <xdr:row>159</xdr:row>
      <xdr:rowOff>0</xdr:rowOff>
    </xdr:from>
    <xdr:to>
      <xdr:col>19</xdr:col>
      <xdr:colOff>0</xdr:colOff>
      <xdr:row>188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219bd8657247b9"/>
        </a:graphicData>
      </a:graphic>
    </xdr:graphicFrame>
    <xdr:clientData/>
  </xdr:twoCellAnchor>
  <xdr:twoCellAnchor>
    <xdr:from>
      <xdr:col>1</xdr:col>
      <xdr:colOff>0</xdr:colOff>
      <xdr:row>197</xdr:row>
      <xdr:rowOff>0</xdr:rowOff>
    </xdr:from>
    <xdr:to>
      <xdr:col>19</xdr:col>
      <xdr:colOff>0</xdr:colOff>
      <xdr:row>226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fb8f048260422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7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95f1051c58486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xperimentRuns" displayName="ExperimentRuns" ref="A6:AN87" headerRowCount="1" totalsRowCount="0" totalsRowShown="0">
  <x:tableColumns count="40">
    <x:tableColumn id="1" name="Cohort"/>
    <x:tableColumn id="2" name="Condition"/>
    <x:tableColumn id="3" name="Run"/>
    <x:tableColumn id="4" name="Status"/>
    <x:tableColumn id="5" name="Duration (s)"/>
    <x:tableColumn id="6" name="Deadline miss rate"/>
    <x:tableColumn id="7" name="Median response (ms)"/>
    <x:tableColumn id="8" name="p99 response (ms)"/>
    <x:tableColumn id="9" name="Max lateness (ms)"/>
    <x:tableColumn id="10" name="Max acquisition gap (ms)"/>
    <x:tableColumn id="11" name="Longest miss streak (slots)"/>
    <x:tableColumn id="12" name="Scheduled slots"/>
    <x:tableColumn id="13" name="Missed slots"/>
    <x:tableColumn id="14" name="Skipped slots"/>
    <x:tableColumn id="15" name="Operation failures"/>
    <x:tableColumn id="16" name="Input source"/>
    <x:tableColumn id="17" name="Schedule"/>
    <x:tableColumn id="18" name="Period (ms)"/>
    <x:tableColumn id="19" name="Deadline (ms)"/>
    <x:tableColumn id="20" name="RAM label"/>
    <x:tableColumn id="21" name="Online cores"/>
    <x:tableColumn id="22" name="Governor"/>
    <x:tableColumn id="23" name="Critter nice"/>
    <x:tableColumn id="24" name="Pinned to CPU0"/>
    <x:tableColumn id="25" name="Matrix competitor"/>
    <x:tableColumn id="26" name="Network target (Mbit/s)"/>
    <x:tableColumn id="27" name="Core method"/>
    <x:tableColumn id="28" name="Started (UTC)"/>
    <x:tableColumn id="29" name="Source run"/>
    <x:tableColumn id="30" name="Binary SHA256"/>
    <x:tableColumn id="31" name="Input SHA256"/>
    <x:tableColumn id="32" name="Run error"/>
    <x:tableColumn id="33" name="Restoration error"/>
    <x:tableColumn id="34" name="p99 start delay (ms)"/>
    <x:tableColumn id="35" name="p99 work time (ms)"/>
    <x:tableColumn id="36" name="Process major faults"/>
    <x:tableColumn id="37" name="Involuntary switches"/>
    <x:tableColumn id="38" name="Peak RSS (KiB)"/>
    <x:tableColumn id="39" name="Process minor faults"/>
    <x:tableColumn id="40" name="Finished (UTC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a19d0de83942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42916fc23374f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01842c50e4a64f38" /></Relationships>
</file>

<file path=xl/worksheets/sheet1.xml><?xml version="1.0" encoding="utf-8"?>
<x:worksheet xmlns:x="http://schemas.openxmlformats.org/spreadsheetml/2006/main">
  <x:sheetPr>
    <x:tabColor rgb="FF22384F"/>
  </x:sheetPr>
  <x:sheetViews>
    <x:sheetView showGridLines="0" workbookViewId="0"/>
  </x:sheetViews>
  <x:sheetFormatPr defaultRowHeight="15"/>
  <x:cols>
    <x:col min="1" max="1" width="2.6700000762939453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2" customHeight="1">
      <x:c r="A2" s="1"/>
      <x:c r="B2" s="14" t="str">
        <x:v>Critter timing experiment review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2" customHeight="1">
      <x:c r="A4" s="1"/>
      <x:c r="B4" s="1" t="str">
        <x:v>Primary runs</x:v>
      </x:c>
      <x:c r="C4" s="1"/>
      <x:c r="D4" s="1" t="n">
        <x:f>COUNTIF('Runs'!$A$7:$A$87,"primary")</x:f>
        <x:v>48</x:v>
      </x:c>
      <x:c r="E4" s="1"/>
      <x:c r="F4" s="1" t="str">
        <x:v>Conditions</x:v>
      </x:c>
      <x:c r="G4" s="1"/>
      <x:c r="H4" s="1" t="n">
        <x:f>COUNTA('Conditions'!A12:A27)</x:f>
        <x:v>16</x:v>
      </x:c>
      <x:c r="I4" s="1"/>
      <x:c r="J4" s="1" t="str">
        <x:v>Duration (s)</x:v>
      </x:c>
      <x:c r="K4" s="1"/>
      <x:c r="L4" s="1" t="n">
        <x:f>AVERAGEIF('Runs'!$A$7:$A$87,"primary",'Runs'!$E$7:$E$87)</x:f>
        <x:v>60</x:v>
      </x:c>
      <x:c r="M4" s="1"/>
      <x:c r="N4" s="1" t="str">
        <x:v>Deadline (ms)</x:v>
      </x:c>
      <x:c r="O4" s="1"/>
      <x:c r="P4" s="1" t="n">
        <x:f>AVERAGEIF('Runs'!$A$7:$A$87,"primary",'Runs'!$S$7:$S$87)</x:f>
        <x:v>100</x:v>
      </x:c>
      <x:c r="Q4" s="1"/>
      <x:c r="R4" s="1"/>
      <x:c r="S4" s="1"/>
    </x:row>
    <x:row r="5" ht="22" customHeight="1">
      <x:c r="A5" s="1"/>
      <x:c r="B5" s="15" t="str">
        <x:v>Bars show runs 1, 2, 3 and their mean. All axes are linear; lower is better for every metric.</x:v>
      </x:c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"/>
    </x:row>
    <x:row r="6" ht="22" customHeight="1">
      <x:c r="A6" s="1"/>
      <x:c r="B6" s="15" t="str">
        <x:v>Use Conditions for exact values; Runs retains earlier valid runs, failures and smoke checks. Shaded rows are for your analysis.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"/>
    </x:row>
    <x:row r="7" ht="22" customHeight="1">
      <x:c r="A7" s="1"/>
      <x:c r="B7" s="15" t="str">
        <x:v>Base: 4 cores, native RAM, performance, quiet network. Nice rows: Critter and matrix share CPU0; matrix stays nice 0.</x:v>
      </x:c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 ht="22" customHeight="1">
      <x:c r="A37" s="1"/>
      <x:c r="B37" s="15" t="str">
        <x:v>Misses include late, unsuccessful and skipped jobs. Mean averages the three whole-run miss rates.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ht="22" customHeight="1">
      <x:c r="A39" s="1"/>
      <x:c r="B39" s="20" t="str">
        <x:v>Your interpretation (type in the shaded rows below)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2" customHeight="1">
      <x:c r="A40" s="1"/>
      <x:c r="B40" s="24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6"/>
      <x:c r="S40" s="1"/>
    </x:row>
    <x:row r="41" ht="22" customHeight="1">
      <x:c r="A41" s="1"/>
      <x:c r="B41" s="27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8"/>
      <x:c r="S41" s="1"/>
    </x:row>
    <x:row r="42" ht="22" customHeight="1">
      <x:c r="A42" s="1"/>
      <x:c r="B42" s="29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1"/>
      <x:c r="S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 ht="22" customHeight="1">
      <x:c r="A75" s="1"/>
      <x:c r="B75" s="15" t="str">
        <x:v>Response includes dispatch delay and acquisition, saving and filtering. Lower is better.</x:v>
      </x:c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 ht="22" customHeight="1">
      <x:c r="A77" s="1"/>
      <x:c r="B77" s="20" t="str">
        <x:v>Your interpretation (type in the shaded rows below)</x:v>
      </x:c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 ht="22" customHeight="1">
      <x:c r="A78" s="1"/>
      <x:c r="B78" s="24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6"/>
      <x:c r="S78" s="1"/>
    </x:row>
    <x:row r="79" ht="22" customHeight="1">
      <x:c r="A79" s="1"/>
      <x:c r="B79" s="27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8"/>
      <x:c r="S79" s="1"/>
    </x:row>
    <x:row r="80" ht="22" customHeight="1">
      <x:c r="A80" s="1"/>
      <x:c r="B80" s="29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1"/>
      <x:c r="S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</x:row>
    <x:row r="113" ht="22" customHeight="1">
      <x:c r="A113" s="1"/>
      <x:c r="B113" s="15" t="str">
        <x:v>p99 covers attempted jobs; skipped releases have no response value. The mean averages the three run p99s.</x:v>
      </x:c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</x:row>
    <x:row r="115" ht="22" customHeight="1">
      <x:c r="A115" s="1"/>
      <x:c r="B115" s="20" t="str">
        <x:v>Your interpretation (type in the shaded rows below)</x:v>
      </x:c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</x:row>
    <x:row r="116" ht="22" customHeight="1">
      <x:c r="A116" s="1"/>
      <x:c r="B116" s="24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6"/>
      <x:c r="S116" s="1"/>
    </x:row>
    <x:row r="117" ht="22" customHeight="1">
      <x:c r="A117" s="1"/>
      <x:c r="B117" s="27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8"/>
      <x:c r="S117" s="1"/>
    </x:row>
    <x:row r="118" ht="22" customHeight="1">
      <x:c r="A118" s="1"/>
      <x:c r="B118" s="29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1"/>
      <x:c r="S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</x:row>
    <x:row r="146" ht="22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</x:row>
    <x:row r="147" ht="22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</x:row>
    <x:row r="148" ht="22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</x:row>
    <x:row r="149" ht="22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</x:row>
    <x:row r="150" ht="22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</x:row>
    <x:row r="151" ht="22" customHeight="1">
      <x:c r="A151" s="1"/>
      <x:c r="B151" s="15" t="str">
        <x:v>Each run maximum is the largest max(0, response - 100 ms) among attempted jobs.</x:v>
      </x:c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</x:row>
    <x:row r="152" ht="22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</x:row>
    <x:row r="153" ht="22" customHeight="1">
      <x:c r="A153" s="1"/>
      <x:c r="B153" s="20" t="str">
        <x:v>Your interpretation (type in the shaded rows below)</x:v>
      </x:c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</x:row>
    <x:row r="154" ht="22" customHeight="1">
      <x:c r="A154" s="1"/>
      <x:c r="B154" s="24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6"/>
      <x:c r="S154" s="1"/>
    </x:row>
    <x:row r="155" ht="22" customHeight="1">
      <x:c r="A155" s="1"/>
      <x:c r="B155" s="27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8"/>
      <x:c r="S155" s="1"/>
    </x:row>
    <x:row r="156" ht="22" customHeight="1">
      <x:c r="A156" s="1"/>
      <x:c r="B156" s="29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1"/>
      <x:c r="S156" s="1"/>
    </x:row>
    <x:row r="157" ht="22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</x:row>
    <x:row r="158" ht="22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</x:row>
    <x:row r="159" ht="22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</x:row>
    <x:row r="160" ht="22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</x:row>
    <x:row r="161" ht="22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</x:row>
    <x:row r="162" ht="22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</x:row>
    <x:row r="163" ht="22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</x:row>
    <x:row r="164" ht="22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</x:row>
    <x:row r="165" ht="22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</x:row>
    <x:row r="166" ht="22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</x:row>
    <x:row r="167" ht="22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</x:row>
    <x:row r="168" ht="22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</x:row>
    <x:row r="169" ht="22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</x:row>
    <x:row r="170" ht="22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</x:row>
    <x:row r="171" ht="22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</x:row>
    <x:row r="172" ht="22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</x:row>
    <x:row r="173" ht="22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</x:row>
    <x:row r="174" ht="22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</x:row>
    <x:row r="175" ht="22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</x:row>
    <x:row r="176" ht="22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</x:row>
    <x:row r="177" ht="22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</x:row>
    <x:row r="178" ht="22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</x:row>
    <x:row r="179" ht="22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</x:row>
    <x:row r="180" ht="22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</x:row>
    <x:row r="181" ht="22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</x:row>
    <x:row r="182" ht="22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</x:row>
    <x:row r="183" ht="22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</x:row>
    <x:row r="184" ht="22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</x:row>
    <x:row r="185" ht="22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</x:row>
    <x:row r="186" ht="22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</x:row>
    <x:row r="187" ht="22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</x:row>
    <x:row r="188" ht="22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</x:row>
    <x:row r="189" ht="22" customHeight="1">
      <x:c r="A189" s="1"/>
      <x:c r="B189" s="15" t="str">
        <x:v>Gap includes collection boundaries. The nominal acquisition period is 100 ms.</x:v>
      </x:c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</x:row>
    <x:row r="190" ht="22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</x:row>
    <x:row r="191" ht="22" customHeight="1">
      <x:c r="A191" s="1"/>
      <x:c r="B191" s="20" t="str">
        <x:v>Your interpretation (type in the shaded rows below)</x:v>
      </x:c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</x:row>
    <x:row r="192" ht="22" customHeight="1">
      <x:c r="A192" s="1"/>
      <x:c r="B192" s="24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6"/>
      <x:c r="S192" s="1"/>
    </x:row>
    <x:row r="193" ht="22" customHeight="1">
      <x:c r="A193" s="1"/>
      <x:c r="B193" s="27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8"/>
      <x:c r="S193" s="1"/>
    </x:row>
    <x:row r="194" ht="22" customHeight="1">
      <x:c r="A194" s="1"/>
      <x:c r="B194" s="29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1"/>
      <x:c r="S194" s="1"/>
    </x:row>
    <x:row r="195" ht="22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</x:row>
    <x:row r="196" ht="22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</x:row>
    <x:row r="197" ht="22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</x:row>
    <x:row r="198" ht="22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</x:row>
    <x:row r="199" ht="22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</x:row>
    <x:row r="200" ht="22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</x:row>
    <x:row r="201" ht="22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</x:row>
    <x:row r="202" ht="22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</x:row>
    <x:row r="203" ht="22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</x:row>
    <x:row r="204" ht="22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</x:row>
    <x:row r="205" ht="22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</x:row>
    <x:row r="206" ht="22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</x:row>
    <x:row r="207" ht="22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</x:row>
    <x:row r="208" ht="22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</x:row>
    <x:row r="209" ht="22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</x:row>
    <x:row r="210" ht="22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</x:row>
    <x:row r="211" ht="22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</x:row>
    <x:row r="212" ht="22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</x:row>
    <x:row r="213" ht="22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</x:row>
    <x:row r="214" ht="22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</x:row>
    <x:row r="215" ht="22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</x:row>
    <x:row r="216" ht="22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</x:row>
    <x:row r="217" ht="22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</x:row>
    <x:row r="218" ht="22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</x:row>
    <x:row r="219" ht="22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</x:row>
    <x:row r="220" ht="22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</x:row>
    <x:row r="221" ht="22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</x:row>
    <x:row r="222" ht="22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</x:row>
    <x:row r="223" ht="22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</x:row>
    <x:row r="224" ht="22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</x:row>
    <x:row r="225" ht="22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</x:row>
    <x:row r="226" ht="22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</x:row>
    <x:row r="227" ht="22" customHeight="1">
      <x:c r="A227" s="1"/>
      <x:c r="B227" s="15" t="str">
        <x:v>Each run has an integer streak. A fractional mean is the average of the three run maxima.</x:v>
      </x:c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</x:row>
    <x:row r="228" ht="22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</x:row>
    <x:row r="229" ht="22" customHeight="1">
      <x:c r="A229" s="1"/>
      <x:c r="B229" s="20" t="str">
        <x:v>Your interpretation (type in the shaded rows below)</x:v>
      </x:c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</x:row>
    <x:row r="230" ht="22" customHeight="1">
      <x:c r="A230" s="1"/>
      <x:c r="B230" s="24"/>
      <x:c r="C230" s="25"/>
      <x:c r="D230" s="25"/>
      <x:c r="E230" s="25"/>
      <x:c r="F230" s="25"/>
      <x:c r="G230" s="25"/>
      <x:c r="H230" s="25"/>
      <x:c r="I230" s="25"/>
      <x:c r="J230" s="25"/>
      <x:c r="K230" s="25"/>
      <x:c r="L230" s="25"/>
      <x:c r="M230" s="25"/>
      <x:c r="N230" s="25"/>
      <x:c r="O230" s="25"/>
      <x:c r="P230" s="25"/>
      <x:c r="Q230" s="25"/>
      <x:c r="R230" s="26"/>
      <x:c r="S230" s="1"/>
    </x:row>
    <x:row r="231" ht="22" customHeight="1">
      <x:c r="A231" s="1"/>
      <x:c r="B231" s="27"/>
      <x:c r="C231" s="23"/>
      <x:c r="D231" s="23"/>
      <x:c r="E231" s="23"/>
      <x:c r="F231" s="23"/>
      <x:c r="G231" s="23"/>
      <x:c r="H231" s="23"/>
      <x:c r="I231" s="23"/>
      <x:c r="J231" s="23"/>
      <x:c r="K231" s="23"/>
      <x:c r="L231" s="23"/>
      <x:c r="M231" s="23"/>
      <x:c r="N231" s="23"/>
      <x:c r="O231" s="23"/>
      <x:c r="P231" s="23"/>
      <x:c r="Q231" s="23"/>
      <x:c r="R231" s="28"/>
      <x:c r="S231" s="1"/>
    </x:row>
    <x:row r="232" ht="22" customHeight="1">
      <x:c r="A232" s="1"/>
      <x:c r="B232" s="29"/>
      <x:c r="C232" s="30"/>
      <x:c r="D232" s="30"/>
      <x:c r="E232" s="30"/>
      <x:c r="F232" s="30"/>
      <x:c r="G232" s="30"/>
      <x:c r="H232" s="30"/>
      <x:c r="I232" s="30"/>
      <x:c r="J232" s="30"/>
      <x:c r="K232" s="30"/>
      <x:c r="L232" s="30"/>
      <x:c r="M232" s="30"/>
      <x:c r="N232" s="30"/>
      <x:c r="O232" s="30"/>
      <x:c r="P232" s="30"/>
      <x:c r="Q232" s="30"/>
      <x:c r="R232" s="31"/>
      <x:c r="S232" s="1"/>
    </x:row>
    <x:row r="233" ht="22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</x:row>
    <x:row r="234" ht="22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</x:row>
    <x:row r="235" ht="22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</x:row>
    <x:row r="236" ht="22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</x:row>
    <x:row r="237" ht="22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</x:row>
  </x:sheetData>
  <x:pageMargins left="0.7" right="0.7" top="0.75" bottom="0.75" header="0.3" footer="0.3"/>
  <x:drawing xmlns:r="http://schemas.openxmlformats.org/officeDocument/2006/relationships" r:id="R30a19d0de83942a4"/>
</x:worksheet>
</file>

<file path=xl/worksheets/sheet2.xml><?xml version="1.0" encoding="utf-8"?>
<x:worksheet xmlns:x="http://schemas.openxmlformats.org/spreadsheetml/2006/main">
  <x:sheetPr>
    <x:tabColor rgb="FF7189A0"/>
  </x:sheetPr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Values behind the charts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13" t="str">
        <x:v>Only primary cohort rows enter these calculations. Each condition has three 60-second runs.</x:v>
      </x:c>
      <x:c r="B4" s="13"/>
      <x:c r="C4" s="13"/>
      <x:c r="D4" s="13"/>
      <x:c r="E4" s="13"/>
      <x:c r="F4" s="13"/>
      <x:c r="G4" s="13"/>
      <x:c r="H4" s="13"/>
      <x:c r="I4" s="13"/>
    </x:row>
    <x:row r="5" ht="23" customHeight="1">
      <x:c r="A5" s="13" t="str">
        <x:v>Source: Runs worksheet. The mean is not a pooled percentile; min/max describe observed runs, not confidence bounds.</x:v>
      </x:c>
      <x:c r="B5" s="13"/>
      <x:c r="C5" s="13"/>
      <x:c r="D5" s="13"/>
      <x:c r="E5" s="13"/>
      <x:c r="F5" s="13"/>
      <x:c r="G5" s="13"/>
      <x:c r="H5" s="13"/>
      <x:c r="I5" s="13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3" customHeight="1">
      <x:c r="A8" s="17" t="str">
        <x:v>Deadline-miss percentage</x:v>
      </x:c>
      <x:c r="B8" s="17"/>
      <x:c r="C8" s="17"/>
      <x:c r="D8" s="17"/>
      <x:c r="E8" s="17"/>
      <x:c r="F8" s="17"/>
      <x:c r="G8" s="17"/>
      <x:c r="H8" s="17"/>
      <x:c r="I8" s="17"/>
    </x:row>
    <x:row r="9" ht="23" customHeight="1">
      <x:c r="A9" s="2" t="str">
        <x:v>Numeric Excel percentages; 1.00% means six misses among 600 scheduled slots.</x:v>
      </x:c>
      <x:c r="B9" s="2"/>
      <x:c r="C9" s="2"/>
      <x:c r="D9" s="2"/>
      <x:c r="E9" s="2"/>
      <x:c r="F9" s="2"/>
      <x:c r="G9" s="2"/>
      <x:c r="H9" s="2"/>
      <x:c r="I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35" customHeight="1">
      <x:c r="A11" s="8" t="str">
        <x:v>Condition</x:v>
      </x:c>
      <x:c r="B11" s="8" t="str">
        <x:v>Chart label</x:v>
      </x:c>
      <x:c r="C11" s="8" t="str">
        <x:v>Runs</x:v>
      </x:c>
      <x:c r="D11" s="8" t="str">
        <x:v>Run 1</x:v>
      </x:c>
      <x:c r="E11" s="8" t="str">
        <x:v>Run 2</x:v>
      </x:c>
      <x:c r="F11" s="8" t="str">
        <x:v>Run 3</x:v>
      </x:c>
      <x:c r="G11" s="8" t="str">
        <x:v>Mean</x:v>
      </x:c>
      <x:c r="H11" s="8" t="str">
        <x:v>Minimum</x:v>
      </x:c>
      <x:c r="I11" s="8" t="str">
        <x:v>Maximum</x:v>
      </x:c>
    </x:row>
    <x:row r="12" ht="30" customHeight="1">
      <x:c r="A12" s="2" t="str">
        <x:v>baseline</x:v>
      </x:c>
      <x:c r="B12" s="18" t="str">
        <x:v>Base</x:v>
      </x:c>
      <x:c r="C12" s="11" t="n">
        <x:f>COUNTIFS('Runs'!$A$7:$A$87,"primary",'Runs'!$B$7:$B$87,$A12)</x:f>
        <x:v>3</x:v>
      </x:c>
      <x:c r="D12" s="19" t="n">
        <x:f>IF(COUNTIFS('Runs'!$A$7:$A$87,"primary",'Runs'!$B$7:$B$87,$A12,'Runs'!$C$7:$C$87,1)=1,SUMIFS('Runs'!$F$7:$F$87,'Runs'!$A$7:$A$87,"primary",'Runs'!$B$7:$B$87,$A12,'Runs'!$C$7:$C$87,1),NA())</x:f>
        <x:v>0</x:v>
      </x:c>
      <x:c r="E12" s="19" t="n">
        <x:f>IF(COUNTIFS('Runs'!$A$7:$A$87,"primary",'Runs'!$B$7:$B$87,$A12,'Runs'!$C$7:$C$87,2)=1,SUMIFS('Runs'!$F$7:$F$87,'Runs'!$A$7:$A$87,"primary",'Runs'!$B$7:$B$87,$A12,'Runs'!$C$7:$C$87,2),NA())</x:f>
        <x:v>0</x:v>
      </x:c>
      <x:c r="F12" s="19" t="n">
        <x:f>IF(COUNTIFS('Runs'!$A$7:$A$87,"primary",'Runs'!$B$7:$B$87,$A12,'Runs'!$C$7:$C$87,3)=1,SUMIFS('Runs'!$F$7:$F$87,'Runs'!$A$7:$A$87,"primary",'Runs'!$B$7:$B$87,$A12,'Runs'!$C$7:$C$87,3),NA())</x:f>
        <x:v>0</x:v>
      </x:c>
      <x:c r="G12" s="19" t="n">
        <x:f>AVERAGE(D12:F12)</x:f>
        <x:v>0</x:v>
      </x:c>
      <x:c r="H12" s="19" t="n">
        <x:f>MIN(D12:F12)</x:f>
        <x:v>0</x:v>
      </x:c>
      <x:c r="I12" s="19" t="n">
        <x:f>MAX(D12:F12)</x:f>
        <x:v>0</x:v>
      </x:c>
    </x:row>
    <x:row r="13" ht="30" customHeight="1">
      <x:c r="A13" s="2" t="str">
        <x:v>cores_3</x:v>
      </x:c>
      <x:c r="B13" s="18" t="str">
        <x:v>Cores
3</x:v>
      </x:c>
      <x:c r="C13" s="11" t="n">
        <x:f>COUNTIFS('Runs'!$A$7:$A$87,"primary",'Runs'!$B$7:$B$87,$A13)</x:f>
        <x:v>3</x:v>
      </x:c>
      <x:c r="D13" s="19" t="n">
        <x:f>IF(COUNTIFS('Runs'!$A$7:$A$87,"primary",'Runs'!$B$7:$B$87,$A13,'Runs'!$C$7:$C$87,1)=1,SUMIFS('Runs'!$F$7:$F$87,'Runs'!$A$7:$A$87,"primary",'Runs'!$B$7:$B$87,$A13,'Runs'!$C$7:$C$87,1),NA())</x:f>
        <x:v>0</x:v>
      </x:c>
      <x:c r="E13" s="19" t="n">
        <x:f>IF(COUNTIFS('Runs'!$A$7:$A$87,"primary",'Runs'!$B$7:$B$87,$A13,'Runs'!$C$7:$C$87,2)=1,SUMIFS('Runs'!$F$7:$F$87,'Runs'!$A$7:$A$87,"primary",'Runs'!$B$7:$B$87,$A13,'Runs'!$C$7:$C$87,2),NA())</x:f>
        <x:v>0</x:v>
      </x:c>
      <x:c r="F13" s="19" t="n">
        <x:f>IF(COUNTIFS('Runs'!$A$7:$A$87,"primary",'Runs'!$B$7:$B$87,$A13,'Runs'!$C$7:$C$87,3)=1,SUMIFS('Runs'!$F$7:$F$87,'Runs'!$A$7:$A$87,"primary",'Runs'!$B$7:$B$87,$A13,'Runs'!$C$7:$C$87,3),NA())</x:f>
        <x:v>0</x:v>
      </x:c>
      <x:c r="G13" s="19" t="n">
        <x:f>AVERAGE(D13:F13)</x:f>
        <x:v>0</x:v>
      </x:c>
      <x:c r="H13" s="19" t="n">
        <x:f>MIN(D13:F13)</x:f>
        <x:v>0</x:v>
      </x:c>
      <x:c r="I13" s="19" t="n">
        <x:f>MAX(D13:F13)</x:f>
        <x:v>0</x:v>
      </x:c>
    </x:row>
    <x:row r="14" ht="30" customHeight="1">
      <x:c r="A14" s="2" t="str">
        <x:v>cores_2</x:v>
      </x:c>
      <x:c r="B14" s="18" t="str">
        <x:v>Cores
2</x:v>
      </x:c>
      <x:c r="C14" s="11" t="n">
        <x:f>COUNTIFS('Runs'!$A$7:$A$87,"primary",'Runs'!$B$7:$B$87,$A14)</x:f>
        <x:v>3</x:v>
      </x:c>
      <x:c r="D14" s="19" t="n">
        <x:f>IF(COUNTIFS('Runs'!$A$7:$A$87,"primary",'Runs'!$B$7:$B$87,$A14,'Runs'!$C$7:$C$87,1)=1,SUMIFS('Runs'!$F$7:$F$87,'Runs'!$A$7:$A$87,"primary",'Runs'!$B$7:$B$87,$A14,'Runs'!$C$7:$C$87,1),NA())</x:f>
        <x:v>0</x:v>
      </x:c>
      <x:c r="E14" s="19" t="n">
        <x:f>IF(COUNTIFS('Runs'!$A$7:$A$87,"primary",'Runs'!$B$7:$B$87,$A14,'Runs'!$C$7:$C$87,2)=1,SUMIFS('Runs'!$F$7:$F$87,'Runs'!$A$7:$A$87,"primary",'Runs'!$B$7:$B$87,$A14,'Runs'!$C$7:$C$87,2),NA())</x:f>
        <x:v>0</x:v>
      </x:c>
      <x:c r="F14" s="19" t="n">
        <x:f>IF(COUNTIFS('Runs'!$A$7:$A$87,"primary",'Runs'!$B$7:$B$87,$A14,'Runs'!$C$7:$C$87,3)=1,SUMIFS('Runs'!$F$7:$F$87,'Runs'!$A$7:$A$87,"primary",'Runs'!$B$7:$B$87,$A14,'Runs'!$C$7:$C$87,3),NA())</x:f>
        <x:v>0</x:v>
      </x:c>
      <x:c r="G14" s="19" t="n">
        <x:f>AVERAGE(D14:F14)</x:f>
        <x:v>0</x:v>
      </x:c>
      <x:c r="H14" s="19" t="n">
        <x:f>MIN(D14:F14)</x:f>
        <x:v>0</x:v>
      </x:c>
      <x:c r="I14" s="19" t="n">
        <x:f>MAX(D14:F14)</x:f>
        <x:v>0</x:v>
      </x:c>
    </x:row>
    <x:row r="15" ht="30" customHeight="1">
      <x:c r="A15" s="2" t="str">
        <x:v>cores_1</x:v>
      </x:c>
      <x:c r="B15" s="18" t="str">
        <x:v>Cores
1</x:v>
      </x:c>
      <x:c r="C15" s="11" t="n">
        <x:f>COUNTIFS('Runs'!$A$7:$A$87,"primary",'Runs'!$B$7:$B$87,$A15)</x:f>
        <x:v>3</x:v>
      </x:c>
      <x:c r="D15" s="19" t="n">
        <x:f>IF(COUNTIFS('Runs'!$A$7:$A$87,"primary",'Runs'!$B$7:$B$87,$A15,'Runs'!$C$7:$C$87,1)=1,SUMIFS('Runs'!$F$7:$F$87,'Runs'!$A$7:$A$87,"primary",'Runs'!$B$7:$B$87,$A15,'Runs'!$C$7:$C$87,1),NA())</x:f>
        <x:v>0</x:v>
      </x:c>
      <x:c r="E15" s="19" t="n">
        <x:f>IF(COUNTIFS('Runs'!$A$7:$A$87,"primary",'Runs'!$B$7:$B$87,$A15,'Runs'!$C$7:$C$87,2)=1,SUMIFS('Runs'!$F$7:$F$87,'Runs'!$A$7:$A$87,"primary",'Runs'!$B$7:$B$87,$A15,'Runs'!$C$7:$C$87,2),NA())</x:f>
        <x:v>0</x:v>
      </x:c>
      <x:c r="F15" s="19" t="n">
        <x:f>IF(COUNTIFS('Runs'!$A$7:$A$87,"primary",'Runs'!$B$7:$B$87,$A15,'Runs'!$C$7:$C$87,3)=1,SUMIFS('Runs'!$F$7:$F$87,'Runs'!$A$7:$A$87,"primary",'Runs'!$B$7:$B$87,$A15,'Runs'!$C$7:$C$87,3),NA())</x:f>
        <x:v>0</x:v>
      </x:c>
      <x:c r="G15" s="19" t="n">
        <x:f>AVERAGE(D15:F15)</x:f>
        <x:v>0</x:v>
      </x:c>
      <x:c r="H15" s="19" t="n">
        <x:f>MIN(D15:F15)</x:f>
        <x:v>0</x:v>
      </x:c>
      <x:c r="I15" s="19" t="n">
        <x:f>MAX(D15:F15)</x:f>
        <x:v>0</x:v>
      </x:c>
    </x:row>
    <x:row r="16" ht="30" customHeight="1">
      <x:c r="A16" s="2" t="str">
        <x:v>governor_powersave</x:v>
      </x:c>
      <x:c r="B16" s="18" t="str">
        <x:v>Gov
power</x:v>
      </x:c>
      <x:c r="C16" s="11" t="n">
        <x:f>COUNTIFS('Runs'!$A$7:$A$87,"primary",'Runs'!$B$7:$B$87,$A16)</x:f>
        <x:v>3</x:v>
      </x:c>
      <x:c r="D16" s="19" t="n">
        <x:f>IF(COUNTIFS('Runs'!$A$7:$A$87,"primary",'Runs'!$B$7:$B$87,$A16,'Runs'!$C$7:$C$87,1)=1,SUMIFS('Runs'!$F$7:$F$87,'Runs'!$A$7:$A$87,"primary",'Runs'!$B$7:$B$87,$A16,'Runs'!$C$7:$C$87,1),NA())</x:f>
        <x:v>0</x:v>
      </x:c>
      <x:c r="E16" s="19" t="n">
        <x:f>IF(COUNTIFS('Runs'!$A$7:$A$87,"primary",'Runs'!$B$7:$B$87,$A16,'Runs'!$C$7:$C$87,2)=1,SUMIFS('Runs'!$F$7:$F$87,'Runs'!$A$7:$A$87,"primary",'Runs'!$B$7:$B$87,$A16,'Runs'!$C$7:$C$87,2),NA())</x:f>
        <x:v>0</x:v>
      </x:c>
      <x:c r="F16" s="19" t="n">
        <x:f>IF(COUNTIFS('Runs'!$A$7:$A$87,"primary",'Runs'!$B$7:$B$87,$A16,'Runs'!$C$7:$C$87,3)=1,SUMIFS('Runs'!$F$7:$F$87,'Runs'!$A$7:$A$87,"primary",'Runs'!$B$7:$B$87,$A16,'Runs'!$C$7:$C$87,3),NA())</x:f>
        <x:v>0</x:v>
      </x:c>
      <x:c r="G16" s="19" t="n">
        <x:f>AVERAGE(D16:F16)</x:f>
        <x:v>0</x:v>
      </x:c>
      <x:c r="H16" s="19" t="n">
        <x:f>MIN(D16:F16)</x:f>
        <x:v>0</x:v>
      </x:c>
      <x:c r="I16" s="19" t="n">
        <x:f>MAX(D16:F16)</x:f>
        <x:v>0</x:v>
      </x:c>
    </x:row>
    <x:row r="17" ht="30" customHeight="1">
      <x:c r="A17" s="2" t="str">
        <x:v>governor_ondemand</x:v>
      </x:c>
      <x:c r="B17" s="18" t="str">
        <x:v>Gov
on-demand</x:v>
      </x:c>
      <x:c r="C17" s="11" t="n">
        <x:f>COUNTIFS('Runs'!$A$7:$A$87,"primary",'Runs'!$B$7:$B$87,$A17)</x:f>
        <x:v>3</x:v>
      </x:c>
      <x:c r="D17" s="19" t="n">
        <x:f>IF(COUNTIFS('Runs'!$A$7:$A$87,"primary",'Runs'!$B$7:$B$87,$A17,'Runs'!$C$7:$C$87,1)=1,SUMIFS('Runs'!$F$7:$F$87,'Runs'!$A$7:$A$87,"primary",'Runs'!$B$7:$B$87,$A17,'Runs'!$C$7:$C$87,1),NA())</x:f>
        <x:v>0</x:v>
      </x:c>
      <x:c r="E17" s="19" t="n">
        <x:f>IF(COUNTIFS('Runs'!$A$7:$A$87,"primary",'Runs'!$B$7:$B$87,$A17,'Runs'!$C$7:$C$87,2)=1,SUMIFS('Runs'!$F$7:$F$87,'Runs'!$A$7:$A$87,"primary",'Runs'!$B$7:$B$87,$A17,'Runs'!$C$7:$C$87,2),NA())</x:f>
        <x:v>0</x:v>
      </x:c>
      <x:c r="F17" s="19" t="n">
        <x:f>IF(COUNTIFS('Runs'!$A$7:$A$87,"primary",'Runs'!$B$7:$B$87,$A17,'Runs'!$C$7:$C$87,3)=1,SUMIFS('Runs'!$F$7:$F$87,'Runs'!$A$7:$A$87,"primary",'Runs'!$B$7:$B$87,$A17,'Runs'!$C$7:$C$87,3),NA())</x:f>
        <x:v>0</x:v>
      </x:c>
      <x:c r="G17" s="19" t="n">
        <x:f>AVERAGE(D17:F17)</x:f>
        <x:v>0</x:v>
      </x:c>
      <x:c r="H17" s="19" t="n">
        <x:f>MIN(D17:F17)</x:f>
        <x:v>0</x:v>
      </x:c>
      <x:c r="I17" s="19" t="n">
        <x:f>MAX(D17:F17)</x:f>
        <x:v>0</x:v>
      </x:c>
    </x:row>
    <x:row r="18" ht="30" customHeight="1">
      <x:c r="A18" s="2" t="str">
        <x:v>ram_4</x:v>
      </x:c>
      <x:c r="B18" s="18" t="str">
        <x:v>RAM
4 GiB</x:v>
      </x:c>
      <x:c r="C18" s="11" t="n">
        <x:f>COUNTIFS('Runs'!$A$7:$A$87,"primary",'Runs'!$B$7:$B$87,$A18)</x:f>
        <x:v>3</x:v>
      </x:c>
      <x:c r="D18" s="19" t="n">
        <x:f>IF(COUNTIFS('Runs'!$A$7:$A$87,"primary",'Runs'!$B$7:$B$87,$A18,'Runs'!$C$7:$C$87,1)=1,SUMIFS('Runs'!$F$7:$F$87,'Runs'!$A$7:$A$87,"primary",'Runs'!$B$7:$B$87,$A18,'Runs'!$C$7:$C$87,1),NA())</x:f>
        <x:v>0</x:v>
      </x:c>
      <x:c r="E18" s="19" t="n">
        <x:f>IF(COUNTIFS('Runs'!$A$7:$A$87,"primary",'Runs'!$B$7:$B$87,$A18,'Runs'!$C$7:$C$87,2)=1,SUMIFS('Runs'!$F$7:$F$87,'Runs'!$A$7:$A$87,"primary",'Runs'!$B$7:$B$87,$A18,'Runs'!$C$7:$C$87,2),NA())</x:f>
        <x:v>0</x:v>
      </x:c>
      <x:c r="F18" s="19" t="n">
        <x:f>IF(COUNTIFS('Runs'!$A$7:$A$87,"primary",'Runs'!$B$7:$B$87,$A18,'Runs'!$C$7:$C$87,3)=1,SUMIFS('Runs'!$F$7:$F$87,'Runs'!$A$7:$A$87,"primary",'Runs'!$B$7:$B$87,$A18,'Runs'!$C$7:$C$87,3),NA())</x:f>
        <x:v>0</x:v>
      </x:c>
      <x:c r="G18" s="19" t="n">
        <x:f>AVERAGE(D18:F18)</x:f>
        <x:v>0</x:v>
      </x:c>
      <x:c r="H18" s="19" t="n">
        <x:f>MIN(D18:F18)</x:f>
        <x:v>0</x:v>
      </x:c>
      <x:c r="I18" s="19" t="n">
        <x:f>MAX(D18:F18)</x:f>
        <x:v>0</x:v>
      </x:c>
    </x:row>
    <x:row r="19" ht="30" customHeight="1">
      <x:c r="A19" s="2" t="str">
        <x:v>ram_2</x:v>
      </x:c>
      <x:c r="B19" s="18" t="str">
        <x:v>RAM
2 GiB</x:v>
      </x:c>
      <x:c r="C19" s="11" t="n">
        <x:f>COUNTIFS('Runs'!$A$7:$A$87,"primary",'Runs'!$B$7:$B$87,$A19)</x:f>
        <x:v>3</x:v>
      </x:c>
      <x:c r="D19" s="19" t="n">
        <x:f>IF(COUNTIFS('Runs'!$A$7:$A$87,"primary",'Runs'!$B$7:$B$87,$A19,'Runs'!$C$7:$C$87,1)=1,SUMIFS('Runs'!$F$7:$F$87,'Runs'!$A$7:$A$87,"primary",'Runs'!$B$7:$B$87,$A19,'Runs'!$C$7:$C$87,1),NA())</x:f>
        <x:v>0</x:v>
      </x:c>
      <x:c r="E19" s="19" t="n">
        <x:f>IF(COUNTIFS('Runs'!$A$7:$A$87,"primary",'Runs'!$B$7:$B$87,$A19,'Runs'!$C$7:$C$87,2)=1,SUMIFS('Runs'!$F$7:$F$87,'Runs'!$A$7:$A$87,"primary",'Runs'!$B$7:$B$87,$A19,'Runs'!$C$7:$C$87,2),NA())</x:f>
        <x:v>0</x:v>
      </x:c>
      <x:c r="F19" s="19" t="n">
        <x:f>IF(COUNTIFS('Runs'!$A$7:$A$87,"primary",'Runs'!$B$7:$B$87,$A19,'Runs'!$C$7:$C$87,3)=1,SUMIFS('Runs'!$F$7:$F$87,'Runs'!$A$7:$A$87,"primary",'Runs'!$B$7:$B$87,$A19,'Runs'!$C$7:$C$87,3),NA())</x:f>
        <x:v>0</x:v>
      </x:c>
      <x:c r="G19" s="19" t="n">
        <x:f>AVERAGE(D19:F19)</x:f>
        <x:v>0</x:v>
      </x:c>
      <x:c r="H19" s="19" t="n">
        <x:f>MIN(D19:F19)</x:f>
        <x:v>0</x:v>
      </x:c>
      <x:c r="I19" s="19" t="n">
        <x:f>MAX(D19:F19)</x:f>
        <x:v>0</x:v>
      </x:c>
    </x:row>
    <x:row r="20" ht="30" customHeight="1">
      <x:c r="A20" s="2" t="str">
        <x:v>ram_1.5</x:v>
      </x:c>
      <x:c r="B20" s="18" t="str">
        <x:v>RAM
1.5 GiB</x:v>
      </x:c>
      <x:c r="C20" s="11" t="n">
        <x:f>COUNTIFS('Runs'!$A$7:$A$87,"primary",'Runs'!$B$7:$B$87,$A20)</x:f>
        <x:v>3</x:v>
      </x:c>
      <x:c r="D20" s="19" t="n">
        <x:f>IF(COUNTIFS('Runs'!$A$7:$A$87,"primary",'Runs'!$B$7:$B$87,$A20,'Runs'!$C$7:$C$87,1)=1,SUMIFS('Runs'!$F$7:$F$87,'Runs'!$A$7:$A$87,"primary",'Runs'!$B$7:$B$87,$A20,'Runs'!$C$7:$C$87,1),NA())</x:f>
        <x:v>0.01</x:v>
      </x:c>
      <x:c r="E20" s="19" t="n">
        <x:f>IF(COUNTIFS('Runs'!$A$7:$A$87,"primary",'Runs'!$B$7:$B$87,$A20,'Runs'!$C$7:$C$87,2)=1,SUMIFS('Runs'!$F$7:$F$87,'Runs'!$A$7:$A$87,"primary",'Runs'!$B$7:$B$87,$A20,'Runs'!$C$7:$C$87,2),NA())</x:f>
        <x:v>0</x:v>
      </x:c>
      <x:c r="F20" s="19" t="n">
        <x:f>IF(COUNTIFS('Runs'!$A$7:$A$87,"primary",'Runs'!$B$7:$B$87,$A20,'Runs'!$C$7:$C$87,3)=1,SUMIFS('Runs'!$F$7:$F$87,'Runs'!$A$7:$A$87,"primary",'Runs'!$B$7:$B$87,$A20,'Runs'!$C$7:$C$87,3),NA())</x:f>
        <x:v>0</x:v>
      </x:c>
      <x:c r="G20" s="19" t="n">
        <x:f>AVERAGE(D20:F20)</x:f>
        <x:v>0.0033333333333333335</x:v>
      </x:c>
      <x:c r="H20" s="19" t="n">
        <x:f>MIN(D20:F20)</x:f>
        <x:v>0</x:v>
      </x:c>
      <x:c r="I20" s="19" t="n">
        <x:f>MAX(D20:F20)</x:f>
        <x:v>0.01</x:v>
      </x:c>
    </x:row>
    <x:row r="21" ht="30" customHeight="1">
      <x:c r="A21" s="2" t="str">
        <x:v>network_rx_10M</x:v>
      </x:c>
      <x:c r="B21" s="18" t="str">
        <x:v>Net
10M</x:v>
      </x:c>
      <x:c r="C21" s="11" t="n">
        <x:f>COUNTIFS('Runs'!$A$7:$A$87,"primary",'Runs'!$B$7:$B$87,$A21)</x:f>
        <x:v>3</x:v>
      </x:c>
      <x:c r="D21" s="19" t="n">
        <x:f>IF(COUNTIFS('Runs'!$A$7:$A$87,"primary",'Runs'!$B$7:$B$87,$A21,'Runs'!$C$7:$C$87,1)=1,SUMIFS('Runs'!$F$7:$F$87,'Runs'!$A$7:$A$87,"primary",'Runs'!$B$7:$B$87,$A21,'Runs'!$C$7:$C$87,1),NA())</x:f>
        <x:v>0</x:v>
      </x:c>
      <x:c r="E21" s="19" t="n">
        <x:f>IF(COUNTIFS('Runs'!$A$7:$A$87,"primary",'Runs'!$B$7:$B$87,$A21,'Runs'!$C$7:$C$87,2)=1,SUMIFS('Runs'!$F$7:$F$87,'Runs'!$A$7:$A$87,"primary",'Runs'!$B$7:$B$87,$A21,'Runs'!$C$7:$C$87,2),NA())</x:f>
        <x:v>0</x:v>
      </x:c>
      <x:c r="F21" s="19" t="n">
        <x:f>IF(COUNTIFS('Runs'!$A$7:$A$87,"primary",'Runs'!$B$7:$B$87,$A21,'Runs'!$C$7:$C$87,3)=1,SUMIFS('Runs'!$F$7:$F$87,'Runs'!$A$7:$A$87,"primary",'Runs'!$B$7:$B$87,$A21,'Runs'!$C$7:$C$87,3),NA())</x:f>
        <x:v>0</x:v>
      </x:c>
      <x:c r="G21" s="19" t="n">
        <x:f>AVERAGE(D21:F21)</x:f>
        <x:v>0</x:v>
      </x:c>
      <x:c r="H21" s="19" t="n">
        <x:f>MIN(D21:F21)</x:f>
        <x:v>0</x:v>
      </x:c>
      <x:c r="I21" s="19" t="n">
        <x:f>MAX(D21:F21)</x:f>
        <x:v>0</x:v>
      </x:c>
    </x:row>
    <x:row r="22" ht="30" customHeight="1">
      <x:c r="A22" s="2" t="str">
        <x:v>network_rx_50M</x:v>
      </x:c>
      <x:c r="B22" s="18" t="str">
        <x:v>Net
50M</x:v>
      </x:c>
      <x:c r="C22" s="11" t="n">
        <x:f>COUNTIFS('Runs'!$A$7:$A$87,"primary",'Runs'!$B$7:$B$87,$A22)</x:f>
        <x:v>3</x:v>
      </x:c>
      <x:c r="D22" s="19" t="n">
        <x:f>IF(COUNTIFS('Runs'!$A$7:$A$87,"primary",'Runs'!$B$7:$B$87,$A22,'Runs'!$C$7:$C$87,1)=1,SUMIFS('Runs'!$F$7:$F$87,'Runs'!$A$7:$A$87,"primary",'Runs'!$B$7:$B$87,$A22,'Runs'!$C$7:$C$87,1),NA())</x:f>
        <x:v>0</x:v>
      </x:c>
      <x:c r="E22" s="19" t="n">
        <x:f>IF(COUNTIFS('Runs'!$A$7:$A$87,"primary",'Runs'!$B$7:$B$87,$A22,'Runs'!$C$7:$C$87,2)=1,SUMIFS('Runs'!$F$7:$F$87,'Runs'!$A$7:$A$87,"primary",'Runs'!$B$7:$B$87,$A22,'Runs'!$C$7:$C$87,2),NA())</x:f>
        <x:v>0</x:v>
      </x:c>
      <x:c r="F22" s="19" t="n">
        <x:f>IF(COUNTIFS('Runs'!$A$7:$A$87,"primary",'Runs'!$B$7:$B$87,$A22,'Runs'!$C$7:$C$87,3)=1,SUMIFS('Runs'!$F$7:$F$87,'Runs'!$A$7:$A$87,"primary",'Runs'!$B$7:$B$87,$A22,'Runs'!$C$7:$C$87,3),NA())</x:f>
        <x:v>0</x:v>
      </x:c>
      <x:c r="G22" s="19" t="n">
        <x:f>AVERAGE(D22:F22)</x:f>
        <x:v>0</x:v>
      </x:c>
      <x:c r="H22" s="19" t="n">
        <x:f>MIN(D22:F22)</x:f>
        <x:v>0</x:v>
      </x:c>
      <x:c r="I22" s="19" t="n">
        <x:f>MAX(D22:F22)</x:f>
        <x:v>0</x:v>
      </x:c>
    </x:row>
    <x:row r="23" ht="30" customHeight="1">
      <x:c r="A23" s="2" t="str">
        <x:v>priority_quiet</x:v>
      </x:c>
      <x:c r="B23" s="18" t="str">
        <x:v>Pinned
quiet</x:v>
      </x:c>
      <x:c r="C23" s="11" t="n">
        <x:f>COUNTIFS('Runs'!$A$7:$A$87,"primary",'Runs'!$B$7:$B$87,$A23)</x:f>
        <x:v>3</x:v>
      </x:c>
      <x:c r="D23" s="19" t="n">
        <x:f>IF(COUNTIFS('Runs'!$A$7:$A$87,"primary",'Runs'!$B$7:$B$87,$A23,'Runs'!$C$7:$C$87,1)=1,SUMIFS('Runs'!$F$7:$F$87,'Runs'!$A$7:$A$87,"primary",'Runs'!$B$7:$B$87,$A23,'Runs'!$C$7:$C$87,1),NA())</x:f>
        <x:v>0</x:v>
      </x:c>
      <x:c r="E23" s="19" t="n">
        <x:f>IF(COUNTIFS('Runs'!$A$7:$A$87,"primary",'Runs'!$B$7:$B$87,$A23,'Runs'!$C$7:$C$87,2)=1,SUMIFS('Runs'!$F$7:$F$87,'Runs'!$A$7:$A$87,"primary",'Runs'!$B$7:$B$87,$A23,'Runs'!$C$7:$C$87,2),NA())</x:f>
        <x:v>0</x:v>
      </x:c>
      <x:c r="F23" s="19" t="n">
        <x:f>IF(COUNTIFS('Runs'!$A$7:$A$87,"primary",'Runs'!$B$7:$B$87,$A23,'Runs'!$C$7:$C$87,3)=1,SUMIFS('Runs'!$F$7:$F$87,'Runs'!$A$7:$A$87,"primary",'Runs'!$B$7:$B$87,$A23,'Runs'!$C$7:$C$87,3),NA())</x:f>
        <x:v>0</x:v>
      </x:c>
      <x:c r="G23" s="19" t="n">
        <x:f>AVERAGE(D23:F23)</x:f>
        <x:v>0</x:v>
      </x:c>
      <x:c r="H23" s="19" t="n">
        <x:f>MIN(D23:F23)</x:f>
        <x:v>0</x:v>
      </x:c>
      <x:c r="I23" s="19" t="n">
        <x:f>MAX(D23:F23)</x:f>
        <x:v>0</x:v>
      </x:c>
    </x:row>
    <x:row r="24" ht="30" customHeight="1">
      <x:c r="A24" s="2" t="str">
        <x:v>priority_nice_-10</x:v>
      </x:c>
      <x:c r="B24" s="18" t="str">
        <x:v>Nice
-10</x:v>
      </x:c>
      <x:c r="C24" s="11" t="n">
        <x:f>COUNTIFS('Runs'!$A$7:$A$87,"primary",'Runs'!$B$7:$B$87,$A24)</x:f>
        <x:v>3</x:v>
      </x:c>
      <x:c r="D24" s="19" t="n">
        <x:f>IF(COUNTIFS('Runs'!$A$7:$A$87,"primary",'Runs'!$B$7:$B$87,$A24,'Runs'!$C$7:$C$87,1)=1,SUMIFS('Runs'!$F$7:$F$87,'Runs'!$A$7:$A$87,"primary",'Runs'!$B$7:$B$87,$A24,'Runs'!$C$7:$C$87,1),NA())</x:f>
        <x:v>0</x:v>
      </x:c>
      <x:c r="E24" s="19" t="n">
        <x:f>IF(COUNTIFS('Runs'!$A$7:$A$87,"primary",'Runs'!$B$7:$B$87,$A24,'Runs'!$C$7:$C$87,2)=1,SUMIFS('Runs'!$F$7:$F$87,'Runs'!$A$7:$A$87,"primary",'Runs'!$B$7:$B$87,$A24,'Runs'!$C$7:$C$87,2),NA())</x:f>
        <x:v>0</x:v>
      </x:c>
      <x:c r="F24" s="19" t="n">
        <x:f>IF(COUNTIFS('Runs'!$A$7:$A$87,"primary",'Runs'!$B$7:$B$87,$A24,'Runs'!$C$7:$C$87,3)=1,SUMIFS('Runs'!$F$7:$F$87,'Runs'!$A$7:$A$87,"primary",'Runs'!$B$7:$B$87,$A24,'Runs'!$C$7:$C$87,3),NA())</x:f>
        <x:v>0</x:v>
      </x:c>
      <x:c r="G24" s="19" t="n">
        <x:f>AVERAGE(D24:F24)</x:f>
        <x:v>0</x:v>
      </x:c>
      <x:c r="H24" s="19" t="n">
        <x:f>MIN(D24:F24)</x:f>
        <x:v>0</x:v>
      </x:c>
      <x:c r="I24" s="19" t="n">
        <x:f>MAX(D24:F24)</x:f>
        <x:v>0</x:v>
      </x:c>
    </x:row>
    <x:row r="25" ht="30" customHeight="1">
      <x:c r="A25" s="2" t="str">
        <x:v>priority_nice_0</x:v>
      </x:c>
      <x:c r="B25" s="18" t="str">
        <x:v>Nice
0</x:v>
      </x:c>
      <x:c r="C25" s="11" t="n">
        <x:f>COUNTIFS('Runs'!$A$7:$A$87,"primary",'Runs'!$B$7:$B$87,$A25)</x:f>
        <x:v>3</x:v>
      </x:c>
      <x:c r="D25" s="19" t="n">
        <x:f>IF(COUNTIFS('Runs'!$A$7:$A$87,"primary",'Runs'!$B$7:$B$87,$A25,'Runs'!$C$7:$C$87,1)=1,SUMIFS('Runs'!$F$7:$F$87,'Runs'!$A$7:$A$87,"primary",'Runs'!$B$7:$B$87,$A25,'Runs'!$C$7:$C$87,1),NA())</x:f>
        <x:v>0</x:v>
      </x:c>
      <x:c r="E25" s="19" t="n">
        <x:f>IF(COUNTIFS('Runs'!$A$7:$A$87,"primary",'Runs'!$B$7:$B$87,$A25,'Runs'!$C$7:$C$87,2)=1,SUMIFS('Runs'!$F$7:$F$87,'Runs'!$A$7:$A$87,"primary",'Runs'!$B$7:$B$87,$A25,'Runs'!$C$7:$C$87,2),NA())</x:f>
        <x:v>0</x:v>
      </x:c>
      <x:c r="F25" s="19" t="n">
        <x:f>IF(COUNTIFS('Runs'!$A$7:$A$87,"primary",'Runs'!$B$7:$B$87,$A25,'Runs'!$C$7:$C$87,3)=1,SUMIFS('Runs'!$F$7:$F$87,'Runs'!$A$7:$A$87,"primary",'Runs'!$B$7:$B$87,$A25,'Runs'!$C$7:$C$87,3),NA())</x:f>
        <x:v>0</x:v>
      </x:c>
      <x:c r="G25" s="19" t="n">
        <x:f>AVERAGE(D25:F25)</x:f>
        <x:v>0</x:v>
      </x:c>
      <x:c r="H25" s="19" t="n">
        <x:f>MIN(D25:F25)</x:f>
        <x:v>0</x:v>
      </x:c>
      <x:c r="I25" s="19" t="n">
        <x:f>MAX(D25:F25)</x:f>
        <x:v>0</x:v>
      </x:c>
    </x:row>
    <x:row r="26" ht="30" customHeight="1">
      <x:c r="A26" s="2" t="str">
        <x:v>priority_nice_10</x:v>
      </x:c>
      <x:c r="B26" s="18" t="str">
        <x:v>Nice
+10</x:v>
      </x:c>
      <x:c r="C26" s="11" t="n">
        <x:f>COUNTIFS('Runs'!$A$7:$A$87,"primary",'Runs'!$B$7:$B$87,$A26)</x:f>
        <x:v>3</x:v>
      </x:c>
      <x:c r="D26" s="19" t="n">
        <x:f>IF(COUNTIFS('Runs'!$A$7:$A$87,"primary",'Runs'!$B$7:$B$87,$A26,'Runs'!$C$7:$C$87,1)=1,SUMIFS('Runs'!$F$7:$F$87,'Runs'!$A$7:$A$87,"primary",'Runs'!$B$7:$B$87,$A26,'Runs'!$C$7:$C$87,1),NA())</x:f>
        <x:v>0</x:v>
      </x:c>
      <x:c r="E26" s="19" t="n">
        <x:f>IF(COUNTIFS('Runs'!$A$7:$A$87,"primary",'Runs'!$B$7:$B$87,$A26,'Runs'!$C$7:$C$87,2)=1,SUMIFS('Runs'!$F$7:$F$87,'Runs'!$A$7:$A$87,"primary",'Runs'!$B$7:$B$87,$A26,'Runs'!$C$7:$C$87,2),NA())</x:f>
        <x:v>0</x:v>
      </x:c>
      <x:c r="F26" s="19" t="n">
        <x:f>IF(COUNTIFS('Runs'!$A$7:$A$87,"primary",'Runs'!$B$7:$B$87,$A26,'Runs'!$C$7:$C$87,3)=1,SUMIFS('Runs'!$F$7:$F$87,'Runs'!$A$7:$A$87,"primary",'Runs'!$B$7:$B$87,$A26,'Runs'!$C$7:$C$87,3),NA())</x:f>
        <x:v>0</x:v>
      </x:c>
      <x:c r="G26" s="19" t="n">
        <x:f>AVERAGE(D26:F26)</x:f>
        <x:v>0</x:v>
      </x:c>
      <x:c r="H26" s="19" t="n">
        <x:f>MIN(D26:F26)</x:f>
        <x:v>0</x:v>
      </x:c>
      <x:c r="I26" s="19" t="n">
        <x:f>MAX(D26:F26)</x:f>
        <x:v>0</x:v>
      </x:c>
    </x:row>
    <x:row r="27" ht="30" customHeight="1">
      <x:c r="A27" s="2" t="str">
        <x:v>priority_nice_19</x:v>
      </x:c>
      <x:c r="B27" s="18" t="str">
        <x:v>Nice
+19</x:v>
      </x:c>
      <x:c r="C27" s="11" t="n">
        <x:f>COUNTIFS('Runs'!$A$7:$A$87,"primary",'Runs'!$B$7:$B$87,$A27)</x:f>
        <x:v>3</x:v>
      </x:c>
      <x:c r="D27" s="19" t="n">
        <x:f>IF(COUNTIFS('Runs'!$A$7:$A$87,"primary",'Runs'!$B$7:$B$87,$A27,'Runs'!$C$7:$C$87,1)=1,SUMIFS('Runs'!$F$7:$F$87,'Runs'!$A$7:$A$87,"primary",'Runs'!$B$7:$B$87,$A27,'Runs'!$C$7:$C$87,1),NA())</x:f>
        <x:v>0</x:v>
      </x:c>
      <x:c r="E27" s="19" t="n">
        <x:f>IF(COUNTIFS('Runs'!$A$7:$A$87,"primary",'Runs'!$B$7:$B$87,$A27,'Runs'!$C$7:$C$87,2)=1,SUMIFS('Runs'!$F$7:$F$87,'Runs'!$A$7:$A$87,"primary",'Runs'!$B$7:$B$87,$A27,'Runs'!$C$7:$C$87,2),NA())</x:f>
        <x:v>0</x:v>
      </x:c>
      <x:c r="F27" s="19" t="n">
        <x:f>IF(COUNTIFS('Runs'!$A$7:$A$87,"primary",'Runs'!$B$7:$B$87,$A27,'Runs'!$C$7:$C$87,3)=1,SUMIFS('Runs'!$F$7:$F$87,'Runs'!$A$7:$A$87,"primary",'Runs'!$B$7:$B$87,$A27,'Runs'!$C$7:$C$87,3),NA())</x:f>
        <x:v>0</x:v>
      </x:c>
      <x:c r="G27" s="19" t="n">
        <x:f>AVERAGE(D27:F27)</x:f>
        <x:v>0</x:v>
      </x:c>
      <x:c r="H27" s="19" t="n">
        <x:f>MIN(D27:F27)</x:f>
        <x:v>0</x:v>
      </x:c>
      <x:c r="I27" s="19" t="n">
        <x:f>MAX(D27:F27)</x:f>
        <x:v>0</x:v>
      </x:c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3" customHeight="1">
      <x:c r="A31" s="17" t="str">
        <x:v>Median response time</x:v>
      </x:c>
      <x:c r="B31" s="17"/>
      <x:c r="C31" s="17"/>
      <x:c r="D31" s="17"/>
      <x:c r="E31" s="17"/>
      <x:c r="F31" s="17"/>
      <x:c r="G31" s="17"/>
      <x:c r="H31" s="17"/>
      <x:c r="I31" s="17"/>
    </x:row>
    <x:row r="32" ht="23" customHeight="1">
      <x:c r="A32" s="2" t="str">
        <x:v>Unit: Median response (ms).</x:v>
      </x:c>
      <x:c r="B32" s="2"/>
      <x:c r="C32" s="2"/>
      <x:c r="D32" s="2"/>
      <x:c r="E32" s="2"/>
      <x:c r="F32" s="2"/>
      <x:c r="G32" s="2"/>
      <x:c r="H32" s="2"/>
      <x:c r="I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35" customHeight="1">
      <x:c r="A34" s="8" t="str">
        <x:v>Condition</x:v>
      </x:c>
      <x:c r="B34" s="8" t="str">
        <x:v>Chart label</x:v>
      </x:c>
      <x:c r="C34" s="8" t="str">
        <x:v>Runs</x:v>
      </x:c>
      <x:c r="D34" s="8" t="str">
        <x:v>Run 1</x:v>
      </x:c>
      <x:c r="E34" s="8" t="str">
        <x:v>Run 2</x:v>
      </x:c>
      <x:c r="F34" s="8" t="str">
        <x:v>Run 3</x:v>
      </x:c>
      <x:c r="G34" s="8" t="str">
        <x:v>Mean</x:v>
      </x:c>
      <x:c r="H34" s="8" t="str">
        <x:v>Minimum</x:v>
      </x:c>
      <x:c r="I34" s="8" t="str">
        <x:v>Maximum</x:v>
      </x:c>
    </x:row>
    <x:row r="35" ht="30" customHeight="1">
      <x:c r="A35" s="2" t="str">
        <x:v>baseline</x:v>
      </x:c>
      <x:c r="B35" s="18" t="str">
        <x:v>Base</x:v>
      </x:c>
      <x:c r="C35" s="11" t="n">
        <x:f>COUNTIFS('Runs'!$A$7:$A$87,"primary",'Runs'!$B$7:$B$87,$A35)</x:f>
        <x:v>3</x:v>
      </x:c>
      <x:c r="D35" s="32" t="n">
        <x:f>IF(COUNTIFS('Runs'!$A$7:$A$87,"primary",'Runs'!$B$7:$B$87,$A35,'Runs'!$C$7:$C$87,1)=1,SUMIFS('Runs'!$G$7:$G$87,'Runs'!$A$7:$A$87,"primary",'Runs'!$B$7:$B$87,$A35,'Runs'!$C$7:$C$87,1),NA())</x:f>
        <x:v>0.1347345</x:v>
      </x:c>
      <x:c r="E35" s="32" t="n">
        <x:f>IF(COUNTIFS('Runs'!$A$7:$A$87,"primary",'Runs'!$B$7:$B$87,$A35,'Runs'!$C$7:$C$87,2)=1,SUMIFS('Runs'!$G$7:$G$87,'Runs'!$A$7:$A$87,"primary",'Runs'!$B$7:$B$87,$A35,'Runs'!$C$7:$C$87,2),NA())</x:f>
        <x:v>0.1362085</x:v>
      </x:c>
      <x:c r="F35" s="32" t="n">
        <x:f>IF(COUNTIFS('Runs'!$A$7:$A$87,"primary",'Runs'!$B$7:$B$87,$A35,'Runs'!$C$7:$C$87,3)=1,SUMIFS('Runs'!$G$7:$G$87,'Runs'!$A$7:$A$87,"primary",'Runs'!$B$7:$B$87,$A35,'Runs'!$C$7:$C$87,3),NA())</x:f>
        <x:v>0.1343975</x:v>
      </x:c>
      <x:c r="G35" s="32" t="n">
        <x:f>AVERAGE(D35:F35)</x:f>
        <x:v>0.13511350000000003</x:v>
      </x:c>
      <x:c r="H35" s="32" t="n">
        <x:f>MIN(D35:F35)</x:f>
        <x:v>0.1343975</x:v>
      </x:c>
      <x:c r="I35" s="32" t="n">
        <x:f>MAX(D35:F35)</x:f>
        <x:v>0.1362085</x:v>
      </x:c>
    </x:row>
    <x:row r="36" ht="30" customHeight="1">
      <x:c r="A36" s="2" t="str">
        <x:v>cores_3</x:v>
      </x:c>
      <x:c r="B36" s="18" t="str">
        <x:v>Cores
3</x:v>
      </x:c>
      <x:c r="C36" s="11" t="n">
        <x:f>COUNTIFS('Runs'!$A$7:$A$87,"primary",'Runs'!$B$7:$B$87,$A36)</x:f>
        <x:v>3</x:v>
      </x:c>
      <x:c r="D36" s="32" t="n">
        <x:f>IF(COUNTIFS('Runs'!$A$7:$A$87,"primary",'Runs'!$B$7:$B$87,$A36,'Runs'!$C$7:$C$87,1)=1,SUMIFS('Runs'!$G$7:$G$87,'Runs'!$A$7:$A$87,"primary",'Runs'!$B$7:$B$87,$A36,'Runs'!$C$7:$C$87,1),NA())</x:f>
        <x:v>0.138927</x:v>
      </x:c>
      <x:c r="E36" s="32" t="n">
        <x:f>IF(COUNTIFS('Runs'!$A$7:$A$87,"primary",'Runs'!$B$7:$B$87,$A36,'Runs'!$C$7:$C$87,2)=1,SUMIFS('Runs'!$G$7:$G$87,'Runs'!$A$7:$A$87,"primary",'Runs'!$B$7:$B$87,$A36,'Runs'!$C$7:$C$87,2),NA())</x:f>
        <x:v>0.1395565</x:v>
      </x:c>
      <x:c r="F36" s="32" t="n">
        <x:f>IF(COUNTIFS('Runs'!$A$7:$A$87,"primary",'Runs'!$B$7:$B$87,$A36,'Runs'!$C$7:$C$87,3)=1,SUMIFS('Runs'!$G$7:$G$87,'Runs'!$A$7:$A$87,"primary",'Runs'!$B$7:$B$87,$A36,'Runs'!$C$7:$C$87,3),NA())</x:f>
        <x:v>0.136108</x:v>
      </x:c>
      <x:c r="G36" s="32" t="n">
        <x:f>AVERAGE(D36:F36)</x:f>
        <x:v>0.13819716666666668</x:v>
      </x:c>
      <x:c r="H36" s="32" t="n">
        <x:f>MIN(D36:F36)</x:f>
        <x:v>0.136108</x:v>
      </x:c>
      <x:c r="I36" s="32" t="n">
        <x:f>MAX(D36:F36)</x:f>
        <x:v>0.1395565</x:v>
      </x:c>
    </x:row>
    <x:row r="37" ht="30" customHeight="1">
      <x:c r="A37" s="2" t="str">
        <x:v>cores_2</x:v>
      </x:c>
      <x:c r="B37" s="18" t="str">
        <x:v>Cores
2</x:v>
      </x:c>
      <x:c r="C37" s="11" t="n">
        <x:f>COUNTIFS('Runs'!$A$7:$A$87,"primary",'Runs'!$B$7:$B$87,$A37)</x:f>
        <x:v>3</x:v>
      </x:c>
      <x:c r="D37" s="32" t="n">
        <x:f>IF(COUNTIFS('Runs'!$A$7:$A$87,"primary",'Runs'!$B$7:$B$87,$A37,'Runs'!$C$7:$C$87,1)=1,SUMIFS('Runs'!$G$7:$G$87,'Runs'!$A$7:$A$87,"primary",'Runs'!$B$7:$B$87,$A37,'Runs'!$C$7:$C$87,1),NA())</x:f>
        <x:v>0.14839049999999998</x:v>
      </x:c>
      <x:c r="E37" s="32" t="n">
        <x:f>IF(COUNTIFS('Runs'!$A$7:$A$87,"primary",'Runs'!$B$7:$B$87,$A37,'Runs'!$C$7:$C$87,2)=1,SUMIFS('Runs'!$G$7:$G$87,'Runs'!$A$7:$A$87,"primary",'Runs'!$B$7:$B$87,$A37,'Runs'!$C$7:$C$87,2),NA())</x:f>
        <x:v>0.146329</x:v>
      </x:c>
      <x:c r="F37" s="32" t="n">
        <x:f>IF(COUNTIFS('Runs'!$A$7:$A$87,"primary",'Runs'!$B$7:$B$87,$A37,'Runs'!$C$7:$C$87,3)=1,SUMIFS('Runs'!$G$7:$G$87,'Runs'!$A$7:$A$87,"primary",'Runs'!$B$7:$B$87,$A37,'Runs'!$C$7:$C$87,3),NA())</x:f>
        <x:v>0.1516875</x:v>
      </x:c>
      <x:c r="G37" s="32" t="n">
        <x:f>AVERAGE(D37:F37)</x:f>
        <x:v>0.14880233333333334</x:v>
      </x:c>
      <x:c r="H37" s="32" t="n">
        <x:f>MIN(D37:F37)</x:f>
        <x:v>0.146329</x:v>
      </x:c>
      <x:c r="I37" s="32" t="n">
        <x:f>MAX(D37:F37)</x:f>
        <x:v>0.1516875</x:v>
      </x:c>
    </x:row>
    <x:row r="38" ht="30" customHeight="1">
      <x:c r="A38" s="2" t="str">
        <x:v>cores_1</x:v>
      </x:c>
      <x:c r="B38" s="18" t="str">
        <x:v>Cores
1</x:v>
      </x:c>
      <x:c r="C38" s="11" t="n">
        <x:f>COUNTIFS('Runs'!$A$7:$A$87,"primary",'Runs'!$B$7:$B$87,$A38)</x:f>
        <x:v>3</x:v>
      </x:c>
      <x:c r="D38" s="32" t="n">
        <x:f>IF(COUNTIFS('Runs'!$A$7:$A$87,"primary",'Runs'!$B$7:$B$87,$A38,'Runs'!$C$7:$C$87,1)=1,SUMIFS('Runs'!$G$7:$G$87,'Runs'!$A$7:$A$87,"primary",'Runs'!$B$7:$B$87,$A38,'Runs'!$C$7:$C$87,1),NA())</x:f>
        <x:v>0.147734</x:v>
      </x:c>
      <x:c r="E38" s="32" t="n">
        <x:f>IF(COUNTIFS('Runs'!$A$7:$A$87,"primary",'Runs'!$B$7:$B$87,$A38,'Runs'!$C$7:$C$87,2)=1,SUMIFS('Runs'!$G$7:$G$87,'Runs'!$A$7:$A$87,"primary",'Runs'!$B$7:$B$87,$A38,'Runs'!$C$7:$C$87,2),NA())</x:f>
        <x:v>0.1447905</x:v>
      </x:c>
      <x:c r="F38" s="32" t="n">
        <x:f>IF(COUNTIFS('Runs'!$A$7:$A$87,"primary",'Runs'!$B$7:$B$87,$A38,'Runs'!$C$7:$C$87,3)=1,SUMIFS('Runs'!$G$7:$G$87,'Runs'!$A$7:$A$87,"primary",'Runs'!$B$7:$B$87,$A38,'Runs'!$C$7:$C$87,3),NA())</x:f>
        <x:v>0.1441695</x:v>
      </x:c>
      <x:c r="G38" s="32" t="n">
        <x:f>AVERAGE(D38:F38)</x:f>
        <x:v>0.14556466666666665</x:v>
      </x:c>
      <x:c r="H38" s="32" t="n">
        <x:f>MIN(D38:F38)</x:f>
        <x:v>0.1441695</x:v>
      </x:c>
      <x:c r="I38" s="32" t="n">
        <x:f>MAX(D38:F38)</x:f>
        <x:v>0.147734</x:v>
      </x:c>
    </x:row>
    <x:row r="39" ht="30" customHeight="1">
      <x:c r="A39" s="2" t="str">
        <x:v>governor_powersave</x:v>
      </x:c>
      <x:c r="B39" s="18" t="str">
        <x:v>Gov
power</x:v>
      </x:c>
      <x:c r="C39" s="11" t="n">
        <x:f>COUNTIFS('Runs'!$A$7:$A$87,"primary",'Runs'!$B$7:$B$87,$A39)</x:f>
        <x:v>3</x:v>
      </x:c>
      <x:c r="D39" s="32" t="n">
        <x:f>IF(COUNTIFS('Runs'!$A$7:$A$87,"primary",'Runs'!$B$7:$B$87,$A39,'Runs'!$C$7:$C$87,1)=1,SUMIFS('Runs'!$G$7:$G$87,'Runs'!$A$7:$A$87,"primary",'Runs'!$B$7:$B$87,$A39,'Runs'!$C$7:$C$87,1),NA())</x:f>
        <x:v>0.161344</x:v>
      </x:c>
      <x:c r="E39" s="32" t="n">
        <x:f>IF(COUNTIFS('Runs'!$A$7:$A$87,"primary",'Runs'!$B$7:$B$87,$A39,'Runs'!$C$7:$C$87,2)=1,SUMIFS('Runs'!$G$7:$G$87,'Runs'!$A$7:$A$87,"primary",'Runs'!$B$7:$B$87,$A39,'Runs'!$C$7:$C$87,2),NA())</x:f>
        <x:v>0.1579685</x:v>
      </x:c>
      <x:c r="F39" s="32" t="n">
        <x:f>IF(COUNTIFS('Runs'!$A$7:$A$87,"primary",'Runs'!$B$7:$B$87,$A39,'Runs'!$C$7:$C$87,3)=1,SUMIFS('Runs'!$G$7:$G$87,'Runs'!$A$7:$A$87,"primary",'Runs'!$B$7:$B$87,$A39,'Runs'!$C$7:$C$87,3),NA())</x:f>
        <x:v>0.1624405</x:v>
      </x:c>
      <x:c r="G39" s="32" t="n">
        <x:f>AVERAGE(D39:F39)</x:f>
        <x:v>0.16058433333333333</x:v>
      </x:c>
      <x:c r="H39" s="32" t="n">
        <x:f>MIN(D39:F39)</x:f>
        <x:v>0.1579685</x:v>
      </x:c>
      <x:c r="I39" s="32" t="n">
        <x:f>MAX(D39:F39)</x:f>
        <x:v>0.1624405</x:v>
      </x:c>
    </x:row>
    <x:row r="40" ht="30" customHeight="1">
      <x:c r="A40" s="2" t="str">
        <x:v>governor_ondemand</x:v>
      </x:c>
      <x:c r="B40" s="18" t="str">
        <x:v>Gov
on-demand</x:v>
      </x:c>
      <x:c r="C40" s="11" t="n">
        <x:f>COUNTIFS('Runs'!$A$7:$A$87,"primary",'Runs'!$B$7:$B$87,$A40)</x:f>
        <x:v>3</x:v>
      </x:c>
      <x:c r="D40" s="32" t="n">
        <x:f>IF(COUNTIFS('Runs'!$A$7:$A$87,"primary",'Runs'!$B$7:$B$87,$A40,'Runs'!$C$7:$C$87,1)=1,SUMIFS('Runs'!$G$7:$G$87,'Runs'!$A$7:$A$87,"primary",'Runs'!$B$7:$B$87,$A40,'Runs'!$C$7:$C$87,1),NA())</x:f>
        <x:v>0.1635905</x:v>
      </x:c>
      <x:c r="E40" s="32" t="n">
        <x:f>IF(COUNTIFS('Runs'!$A$7:$A$87,"primary",'Runs'!$B$7:$B$87,$A40,'Runs'!$C$7:$C$87,2)=1,SUMIFS('Runs'!$G$7:$G$87,'Runs'!$A$7:$A$87,"primary",'Runs'!$B$7:$B$87,$A40,'Runs'!$C$7:$C$87,2),NA())</x:f>
        <x:v>0.1627445</x:v>
      </x:c>
      <x:c r="F40" s="32" t="n">
        <x:f>IF(COUNTIFS('Runs'!$A$7:$A$87,"primary",'Runs'!$B$7:$B$87,$A40,'Runs'!$C$7:$C$87,3)=1,SUMIFS('Runs'!$G$7:$G$87,'Runs'!$A$7:$A$87,"primary",'Runs'!$B$7:$B$87,$A40,'Runs'!$C$7:$C$87,3),NA())</x:f>
        <x:v>0.164857</x:v>
      </x:c>
      <x:c r="G40" s="32" t="n">
        <x:f>AVERAGE(D40:F40)</x:f>
        <x:v>0.16373066666666666</x:v>
      </x:c>
      <x:c r="H40" s="32" t="n">
        <x:f>MIN(D40:F40)</x:f>
        <x:v>0.1627445</x:v>
      </x:c>
      <x:c r="I40" s="32" t="n">
        <x:f>MAX(D40:F40)</x:f>
        <x:v>0.164857</x:v>
      </x:c>
    </x:row>
    <x:row r="41" ht="30" customHeight="1">
      <x:c r="A41" s="2" t="str">
        <x:v>ram_4</x:v>
      </x:c>
      <x:c r="B41" s="18" t="str">
        <x:v>RAM
4 GiB</x:v>
      </x:c>
      <x:c r="C41" s="11" t="n">
        <x:f>COUNTIFS('Runs'!$A$7:$A$87,"primary",'Runs'!$B$7:$B$87,$A41)</x:f>
        <x:v>3</x:v>
      </x:c>
      <x:c r="D41" s="32" t="n">
        <x:f>IF(COUNTIFS('Runs'!$A$7:$A$87,"primary",'Runs'!$B$7:$B$87,$A41,'Runs'!$C$7:$C$87,1)=1,SUMIFS('Runs'!$G$7:$G$87,'Runs'!$A$7:$A$87,"primary",'Runs'!$B$7:$B$87,$A41,'Runs'!$C$7:$C$87,1),NA())</x:f>
        <x:v>0.1449545</x:v>
      </x:c>
      <x:c r="E41" s="32" t="n">
        <x:f>IF(COUNTIFS('Runs'!$A$7:$A$87,"primary",'Runs'!$B$7:$B$87,$A41,'Runs'!$C$7:$C$87,2)=1,SUMIFS('Runs'!$G$7:$G$87,'Runs'!$A$7:$A$87,"primary",'Runs'!$B$7:$B$87,$A41,'Runs'!$C$7:$C$87,2),NA())</x:f>
        <x:v>0.142662</x:v>
      </x:c>
      <x:c r="F41" s="32" t="n">
        <x:f>IF(COUNTIFS('Runs'!$A$7:$A$87,"primary",'Runs'!$B$7:$B$87,$A41,'Runs'!$C$7:$C$87,3)=1,SUMIFS('Runs'!$G$7:$G$87,'Runs'!$A$7:$A$87,"primary",'Runs'!$B$7:$B$87,$A41,'Runs'!$C$7:$C$87,3),NA())</x:f>
        <x:v>0.1420905</x:v>
      </x:c>
      <x:c r="G41" s="32" t="n">
        <x:f>AVERAGE(D41:F41)</x:f>
        <x:v>0.14323566666666668</x:v>
      </x:c>
      <x:c r="H41" s="32" t="n">
        <x:f>MIN(D41:F41)</x:f>
        <x:v>0.1420905</x:v>
      </x:c>
      <x:c r="I41" s="32" t="n">
        <x:f>MAX(D41:F41)</x:f>
        <x:v>0.1449545</x:v>
      </x:c>
    </x:row>
    <x:row r="42" ht="30" customHeight="1">
      <x:c r="A42" s="2" t="str">
        <x:v>ram_2</x:v>
      </x:c>
      <x:c r="B42" s="18" t="str">
        <x:v>RAM
2 GiB</x:v>
      </x:c>
      <x:c r="C42" s="11" t="n">
        <x:f>COUNTIFS('Runs'!$A$7:$A$87,"primary",'Runs'!$B$7:$B$87,$A42)</x:f>
        <x:v>3</x:v>
      </x:c>
      <x:c r="D42" s="32" t="n">
        <x:f>IF(COUNTIFS('Runs'!$A$7:$A$87,"primary",'Runs'!$B$7:$B$87,$A42,'Runs'!$C$7:$C$87,1)=1,SUMIFS('Runs'!$G$7:$G$87,'Runs'!$A$7:$A$87,"primary",'Runs'!$B$7:$B$87,$A42,'Runs'!$C$7:$C$87,1),NA())</x:f>
        <x:v>0.0987565</x:v>
      </x:c>
      <x:c r="E42" s="32" t="n">
        <x:f>IF(COUNTIFS('Runs'!$A$7:$A$87,"primary",'Runs'!$B$7:$B$87,$A42,'Runs'!$C$7:$C$87,2)=1,SUMIFS('Runs'!$G$7:$G$87,'Runs'!$A$7:$A$87,"primary",'Runs'!$B$7:$B$87,$A42,'Runs'!$C$7:$C$87,2),NA())</x:f>
        <x:v>0.1458585</x:v>
      </x:c>
      <x:c r="F42" s="32" t="n">
        <x:f>IF(COUNTIFS('Runs'!$A$7:$A$87,"primary",'Runs'!$B$7:$B$87,$A42,'Runs'!$C$7:$C$87,3)=1,SUMIFS('Runs'!$G$7:$G$87,'Runs'!$A$7:$A$87,"primary",'Runs'!$B$7:$B$87,$A42,'Runs'!$C$7:$C$87,3),NA())</x:f>
        <x:v>0.1470985</x:v>
      </x:c>
      <x:c r="G42" s="32" t="n">
        <x:f>AVERAGE(D42:F42)</x:f>
        <x:v>0.13057116666666665</x:v>
      </x:c>
      <x:c r="H42" s="32" t="n">
        <x:f>MIN(D42:F42)</x:f>
        <x:v>0.0987565</x:v>
      </x:c>
      <x:c r="I42" s="32" t="n">
        <x:f>MAX(D42:F42)</x:f>
        <x:v>0.1470985</x:v>
      </x:c>
    </x:row>
    <x:row r="43" ht="30" customHeight="1">
      <x:c r="A43" s="2" t="str">
        <x:v>ram_1.5</x:v>
      </x:c>
      <x:c r="B43" s="18" t="str">
        <x:v>RAM
1.5 GiB</x:v>
      </x:c>
      <x:c r="C43" s="11" t="n">
        <x:f>COUNTIFS('Runs'!$A$7:$A$87,"primary",'Runs'!$B$7:$B$87,$A43)</x:f>
        <x:v>3</x:v>
      </x:c>
      <x:c r="D43" s="32" t="n">
        <x:f>IF(COUNTIFS('Runs'!$A$7:$A$87,"primary",'Runs'!$B$7:$B$87,$A43,'Runs'!$C$7:$C$87,1)=1,SUMIFS('Runs'!$G$7:$G$87,'Runs'!$A$7:$A$87,"primary",'Runs'!$B$7:$B$87,$A43,'Runs'!$C$7:$C$87,1),NA())</x:f>
        <x:v>0.09178149999999999</x:v>
      </x:c>
      <x:c r="E43" s="32" t="n">
        <x:f>IF(COUNTIFS('Runs'!$A$7:$A$87,"primary",'Runs'!$B$7:$B$87,$A43,'Runs'!$C$7:$C$87,2)=1,SUMIFS('Runs'!$G$7:$G$87,'Runs'!$A$7:$A$87,"primary",'Runs'!$B$7:$B$87,$A43,'Runs'!$C$7:$C$87,2),NA())</x:f>
        <x:v>0.14737850000000002</x:v>
      </x:c>
      <x:c r="F43" s="32" t="n">
        <x:f>IF(COUNTIFS('Runs'!$A$7:$A$87,"primary",'Runs'!$B$7:$B$87,$A43,'Runs'!$C$7:$C$87,3)=1,SUMIFS('Runs'!$G$7:$G$87,'Runs'!$A$7:$A$87,"primary",'Runs'!$B$7:$B$87,$A43,'Runs'!$C$7:$C$87,3),NA())</x:f>
        <x:v>0.144858</x:v>
      </x:c>
      <x:c r="G43" s="32" t="n">
        <x:f>AVERAGE(D43:F43)</x:f>
        <x:v>0.12800599999999998</x:v>
      </x:c>
      <x:c r="H43" s="32" t="n">
        <x:f>MIN(D43:F43)</x:f>
        <x:v>0.09178149999999999</x:v>
      </x:c>
      <x:c r="I43" s="32" t="n">
        <x:f>MAX(D43:F43)</x:f>
        <x:v>0.14737850000000002</x:v>
      </x:c>
    </x:row>
    <x:row r="44" ht="30" customHeight="1">
      <x:c r="A44" s="2" t="str">
        <x:v>network_rx_10M</x:v>
      </x:c>
      <x:c r="B44" s="18" t="str">
        <x:v>Net
10M</x:v>
      </x:c>
      <x:c r="C44" s="11" t="n">
        <x:f>COUNTIFS('Runs'!$A$7:$A$87,"primary",'Runs'!$B$7:$B$87,$A44)</x:f>
        <x:v>3</x:v>
      </x:c>
      <x:c r="D44" s="32" t="n">
        <x:f>IF(COUNTIFS('Runs'!$A$7:$A$87,"primary",'Runs'!$B$7:$B$87,$A44,'Runs'!$C$7:$C$87,1)=1,SUMIFS('Runs'!$G$7:$G$87,'Runs'!$A$7:$A$87,"primary",'Runs'!$B$7:$B$87,$A44,'Runs'!$C$7:$C$87,1),NA())</x:f>
        <x:v>0.13893850000000002</x:v>
      </x:c>
      <x:c r="E44" s="32" t="n">
        <x:f>IF(COUNTIFS('Runs'!$A$7:$A$87,"primary",'Runs'!$B$7:$B$87,$A44,'Runs'!$C$7:$C$87,2)=1,SUMIFS('Runs'!$G$7:$G$87,'Runs'!$A$7:$A$87,"primary",'Runs'!$B$7:$B$87,$A44,'Runs'!$C$7:$C$87,2),NA())</x:f>
        <x:v>0.13775700000000002</x:v>
      </x:c>
      <x:c r="F44" s="32" t="n">
        <x:f>IF(COUNTIFS('Runs'!$A$7:$A$87,"primary",'Runs'!$B$7:$B$87,$A44,'Runs'!$C$7:$C$87,3)=1,SUMIFS('Runs'!$G$7:$G$87,'Runs'!$A$7:$A$87,"primary",'Runs'!$B$7:$B$87,$A44,'Runs'!$C$7:$C$87,3),NA())</x:f>
        <x:v>0.13796999999999998</x:v>
      </x:c>
      <x:c r="G44" s="32" t="n">
        <x:f>AVERAGE(D44:F44)</x:f>
        <x:v>0.13822183333333335</x:v>
      </x:c>
      <x:c r="H44" s="32" t="n">
        <x:f>MIN(D44:F44)</x:f>
        <x:v>0.13775700000000002</x:v>
      </x:c>
      <x:c r="I44" s="32" t="n">
        <x:f>MAX(D44:F44)</x:f>
        <x:v>0.13893850000000002</x:v>
      </x:c>
    </x:row>
    <x:row r="45" ht="30" customHeight="1">
      <x:c r="A45" s="2" t="str">
        <x:v>network_rx_50M</x:v>
      </x:c>
      <x:c r="B45" s="18" t="str">
        <x:v>Net
50M</x:v>
      </x:c>
      <x:c r="C45" s="11" t="n">
        <x:f>COUNTIFS('Runs'!$A$7:$A$87,"primary",'Runs'!$B$7:$B$87,$A45)</x:f>
        <x:v>3</x:v>
      </x:c>
      <x:c r="D45" s="32" t="n">
        <x:f>IF(COUNTIFS('Runs'!$A$7:$A$87,"primary",'Runs'!$B$7:$B$87,$A45,'Runs'!$C$7:$C$87,1)=1,SUMIFS('Runs'!$G$7:$G$87,'Runs'!$A$7:$A$87,"primary",'Runs'!$B$7:$B$87,$A45,'Runs'!$C$7:$C$87,1),NA())</x:f>
        <x:v>0.1408945</x:v>
      </x:c>
      <x:c r="E45" s="32" t="n">
        <x:f>IF(COUNTIFS('Runs'!$A$7:$A$87,"primary",'Runs'!$B$7:$B$87,$A45,'Runs'!$C$7:$C$87,2)=1,SUMIFS('Runs'!$G$7:$G$87,'Runs'!$A$7:$A$87,"primary",'Runs'!$B$7:$B$87,$A45,'Runs'!$C$7:$C$87,2),NA())</x:f>
        <x:v>0.1417745</x:v>
      </x:c>
      <x:c r="F45" s="32" t="n">
        <x:f>IF(COUNTIFS('Runs'!$A$7:$A$87,"primary",'Runs'!$B$7:$B$87,$A45,'Runs'!$C$7:$C$87,3)=1,SUMIFS('Runs'!$G$7:$G$87,'Runs'!$A$7:$A$87,"primary",'Runs'!$B$7:$B$87,$A45,'Runs'!$C$7:$C$87,3),NA())</x:f>
        <x:v>0.138581</x:v>
      </x:c>
      <x:c r="G45" s="32" t="n">
        <x:f>AVERAGE(D45:F45)</x:f>
        <x:v>0.14041666666666666</x:v>
      </x:c>
      <x:c r="H45" s="32" t="n">
        <x:f>MIN(D45:F45)</x:f>
        <x:v>0.138581</x:v>
      </x:c>
      <x:c r="I45" s="32" t="n">
        <x:f>MAX(D45:F45)</x:f>
        <x:v>0.1417745</x:v>
      </x:c>
    </x:row>
    <x:row r="46" ht="30" customHeight="1">
      <x:c r="A46" s="2" t="str">
        <x:v>priority_quiet</x:v>
      </x:c>
      <x:c r="B46" s="18" t="str">
        <x:v>Pinned
quiet</x:v>
      </x:c>
      <x:c r="C46" s="11" t="n">
        <x:f>COUNTIFS('Runs'!$A$7:$A$87,"primary",'Runs'!$B$7:$B$87,$A46)</x:f>
        <x:v>3</x:v>
      </x:c>
      <x:c r="D46" s="32" t="n">
        <x:f>IF(COUNTIFS('Runs'!$A$7:$A$87,"primary",'Runs'!$B$7:$B$87,$A46,'Runs'!$C$7:$C$87,1)=1,SUMIFS('Runs'!$G$7:$G$87,'Runs'!$A$7:$A$87,"primary",'Runs'!$B$7:$B$87,$A46,'Runs'!$C$7:$C$87,1),NA())</x:f>
        <x:v>0.1250445</x:v>
      </x:c>
      <x:c r="E46" s="32" t="n">
        <x:f>IF(COUNTIFS('Runs'!$A$7:$A$87,"primary",'Runs'!$B$7:$B$87,$A46,'Runs'!$C$7:$C$87,2)=1,SUMIFS('Runs'!$G$7:$G$87,'Runs'!$A$7:$A$87,"primary",'Runs'!$B$7:$B$87,$A46,'Runs'!$C$7:$C$87,2),NA())</x:f>
        <x:v>0.1347685</x:v>
      </x:c>
      <x:c r="F46" s="32" t="n">
        <x:f>IF(COUNTIFS('Runs'!$A$7:$A$87,"primary",'Runs'!$B$7:$B$87,$A46,'Runs'!$C$7:$C$87,3)=1,SUMIFS('Runs'!$G$7:$G$87,'Runs'!$A$7:$A$87,"primary",'Runs'!$B$7:$B$87,$A46,'Runs'!$C$7:$C$87,3),NA())</x:f>
        <x:v>0.1370805</x:v>
      </x:c>
      <x:c r="G46" s="32" t="n">
        <x:f>AVERAGE(D46:F46)</x:f>
        <x:v>0.13229783333333334</x:v>
      </x:c>
      <x:c r="H46" s="32" t="n">
        <x:f>MIN(D46:F46)</x:f>
        <x:v>0.1250445</x:v>
      </x:c>
      <x:c r="I46" s="32" t="n">
        <x:f>MAX(D46:F46)</x:f>
        <x:v>0.1370805</x:v>
      </x:c>
    </x:row>
    <x:row r="47" ht="30" customHeight="1">
      <x:c r="A47" s="2" t="str">
        <x:v>priority_nice_-10</x:v>
      </x:c>
      <x:c r="B47" s="18" t="str">
        <x:v>Nice
-10</x:v>
      </x:c>
      <x:c r="C47" s="11" t="n">
        <x:f>COUNTIFS('Runs'!$A$7:$A$87,"primary",'Runs'!$B$7:$B$87,$A47)</x:f>
        <x:v>3</x:v>
      </x:c>
      <x:c r="D47" s="32" t="n">
        <x:f>IF(COUNTIFS('Runs'!$A$7:$A$87,"primary",'Runs'!$B$7:$B$87,$A47,'Runs'!$C$7:$C$87,1)=1,SUMIFS('Runs'!$G$7:$G$87,'Runs'!$A$7:$A$87,"primary",'Runs'!$B$7:$B$87,$A47,'Runs'!$C$7:$C$87,1),NA())</x:f>
        <x:v>0.15144400000000002</x:v>
      </x:c>
      <x:c r="E47" s="32" t="n">
        <x:f>IF(COUNTIFS('Runs'!$A$7:$A$87,"primary",'Runs'!$B$7:$B$87,$A47,'Runs'!$C$7:$C$87,2)=1,SUMIFS('Runs'!$G$7:$G$87,'Runs'!$A$7:$A$87,"primary",'Runs'!$B$7:$B$87,$A47,'Runs'!$C$7:$C$87,2),NA())</x:f>
        <x:v>0.1509</x:v>
      </x:c>
      <x:c r="F47" s="32" t="n">
        <x:f>IF(COUNTIFS('Runs'!$A$7:$A$87,"primary",'Runs'!$B$7:$B$87,$A47,'Runs'!$C$7:$C$87,3)=1,SUMIFS('Runs'!$G$7:$G$87,'Runs'!$A$7:$A$87,"primary",'Runs'!$B$7:$B$87,$A47,'Runs'!$C$7:$C$87,3),NA())</x:f>
        <x:v>0.1519485</x:v>
      </x:c>
      <x:c r="G47" s="32" t="n">
        <x:f>AVERAGE(D47:F47)</x:f>
        <x:v>0.15143083333333335</x:v>
      </x:c>
      <x:c r="H47" s="32" t="n">
        <x:f>MIN(D47:F47)</x:f>
        <x:v>0.1509</x:v>
      </x:c>
      <x:c r="I47" s="32" t="n">
        <x:f>MAX(D47:F47)</x:f>
        <x:v>0.1519485</x:v>
      </x:c>
    </x:row>
    <x:row r="48" ht="30" customHeight="1">
      <x:c r="A48" s="2" t="str">
        <x:v>priority_nice_0</x:v>
      </x:c>
      <x:c r="B48" s="18" t="str">
        <x:v>Nice
0</x:v>
      </x:c>
      <x:c r="C48" s="11" t="n">
        <x:f>COUNTIFS('Runs'!$A$7:$A$87,"primary",'Runs'!$B$7:$B$87,$A48)</x:f>
        <x:v>3</x:v>
      </x:c>
      <x:c r="D48" s="32" t="n">
        <x:f>IF(COUNTIFS('Runs'!$A$7:$A$87,"primary",'Runs'!$B$7:$B$87,$A48,'Runs'!$C$7:$C$87,1)=1,SUMIFS('Runs'!$G$7:$G$87,'Runs'!$A$7:$A$87,"primary",'Runs'!$B$7:$B$87,$A48,'Runs'!$C$7:$C$87,1),NA())</x:f>
        <x:v>0.151887</x:v>
      </x:c>
      <x:c r="E48" s="32" t="n">
        <x:f>IF(COUNTIFS('Runs'!$A$7:$A$87,"primary",'Runs'!$B$7:$B$87,$A48,'Runs'!$C$7:$C$87,2)=1,SUMIFS('Runs'!$G$7:$G$87,'Runs'!$A$7:$A$87,"primary",'Runs'!$B$7:$B$87,$A48,'Runs'!$C$7:$C$87,2),NA())</x:f>
        <x:v>0.150982</x:v>
      </x:c>
      <x:c r="F48" s="32" t="n">
        <x:f>IF(COUNTIFS('Runs'!$A$7:$A$87,"primary",'Runs'!$B$7:$B$87,$A48,'Runs'!$C$7:$C$87,3)=1,SUMIFS('Runs'!$G$7:$G$87,'Runs'!$A$7:$A$87,"primary",'Runs'!$B$7:$B$87,$A48,'Runs'!$C$7:$C$87,3),NA())</x:f>
        <x:v>0.1508815</x:v>
      </x:c>
      <x:c r="G48" s="32" t="n">
        <x:f>AVERAGE(D48:F48)</x:f>
        <x:v>0.15125016666666666</x:v>
      </x:c>
      <x:c r="H48" s="32" t="n">
        <x:f>MIN(D48:F48)</x:f>
        <x:v>0.1508815</x:v>
      </x:c>
      <x:c r="I48" s="32" t="n">
        <x:f>MAX(D48:F48)</x:f>
        <x:v>0.151887</x:v>
      </x:c>
    </x:row>
    <x:row r="49" ht="30" customHeight="1">
      <x:c r="A49" s="2" t="str">
        <x:v>priority_nice_10</x:v>
      </x:c>
      <x:c r="B49" s="18" t="str">
        <x:v>Nice
+10</x:v>
      </x:c>
      <x:c r="C49" s="11" t="n">
        <x:f>COUNTIFS('Runs'!$A$7:$A$87,"primary",'Runs'!$B$7:$B$87,$A49)</x:f>
        <x:v>3</x:v>
      </x:c>
      <x:c r="D49" s="32" t="n">
        <x:f>IF(COUNTIFS('Runs'!$A$7:$A$87,"primary",'Runs'!$B$7:$B$87,$A49,'Runs'!$C$7:$C$87,1)=1,SUMIFS('Runs'!$G$7:$G$87,'Runs'!$A$7:$A$87,"primary",'Runs'!$B$7:$B$87,$A49,'Runs'!$C$7:$C$87,1),NA())</x:f>
        <x:v>0.159645</x:v>
      </x:c>
      <x:c r="E49" s="32" t="n">
        <x:f>IF(COUNTIFS('Runs'!$A$7:$A$87,"primary",'Runs'!$B$7:$B$87,$A49,'Runs'!$C$7:$C$87,2)=1,SUMIFS('Runs'!$G$7:$G$87,'Runs'!$A$7:$A$87,"primary",'Runs'!$B$7:$B$87,$A49,'Runs'!$C$7:$C$87,2),NA())</x:f>
        <x:v>0.15818900000000002</x:v>
      </x:c>
      <x:c r="F49" s="32" t="n">
        <x:f>IF(COUNTIFS('Runs'!$A$7:$A$87,"primary",'Runs'!$B$7:$B$87,$A49,'Runs'!$C$7:$C$87,3)=1,SUMIFS('Runs'!$G$7:$G$87,'Runs'!$A$7:$A$87,"primary",'Runs'!$B$7:$B$87,$A49,'Runs'!$C$7:$C$87,3),NA())</x:f>
        <x:v>0.1563545</x:v>
      </x:c>
      <x:c r="G49" s="32" t="n">
        <x:f>AVERAGE(D49:F49)</x:f>
        <x:v>0.15806283333333335</x:v>
      </x:c>
      <x:c r="H49" s="32" t="n">
        <x:f>MIN(D49:F49)</x:f>
        <x:v>0.1563545</x:v>
      </x:c>
      <x:c r="I49" s="32" t="n">
        <x:f>MAX(D49:F49)</x:f>
        <x:v>0.159645</x:v>
      </x:c>
    </x:row>
    <x:row r="50" ht="30" customHeight="1">
      <x:c r="A50" s="2" t="str">
        <x:v>priority_nice_19</x:v>
      </x:c>
      <x:c r="B50" s="18" t="str">
        <x:v>Nice
+19</x:v>
      </x:c>
      <x:c r="C50" s="11" t="n">
        <x:f>COUNTIFS('Runs'!$A$7:$A$87,"primary",'Runs'!$B$7:$B$87,$A50)</x:f>
        <x:v>3</x:v>
      </x:c>
      <x:c r="D50" s="32" t="n">
        <x:f>IF(COUNTIFS('Runs'!$A$7:$A$87,"primary",'Runs'!$B$7:$B$87,$A50,'Runs'!$C$7:$C$87,1)=1,SUMIFS('Runs'!$G$7:$G$87,'Runs'!$A$7:$A$87,"primary",'Runs'!$B$7:$B$87,$A50,'Runs'!$C$7:$C$87,1),NA())</x:f>
        <x:v>4.060698</x:v>
      </x:c>
      <x:c r="E50" s="32" t="n">
        <x:f>IF(COUNTIFS('Runs'!$A$7:$A$87,"primary",'Runs'!$B$7:$B$87,$A50,'Runs'!$C$7:$C$87,2)=1,SUMIFS('Runs'!$G$7:$G$87,'Runs'!$A$7:$A$87,"primary",'Runs'!$B$7:$B$87,$A50,'Runs'!$C$7:$C$87,2),NA())</x:f>
        <x:v>2.6757305000000002</x:v>
      </x:c>
      <x:c r="F50" s="32" t="n">
        <x:f>IF(COUNTIFS('Runs'!$A$7:$A$87,"primary",'Runs'!$B$7:$B$87,$A50,'Runs'!$C$7:$C$87,3)=1,SUMIFS('Runs'!$G$7:$G$87,'Runs'!$A$7:$A$87,"primary",'Runs'!$B$7:$B$87,$A50,'Runs'!$C$7:$C$87,3),NA())</x:f>
        <x:v>2.6484240000000003</x:v>
      </x:c>
      <x:c r="G50" s="32" t="n">
        <x:f>AVERAGE(D50:F50)</x:f>
        <x:v>3.128284166666667</x:v>
      </x:c>
      <x:c r="H50" s="32" t="n">
        <x:f>MIN(D50:F50)</x:f>
        <x:v>2.6484240000000003</x:v>
      </x:c>
      <x:c r="I50" s="32" t="n">
        <x:f>MAX(D50:F50)</x:f>
        <x:v>4.060698</x:v>
      </x:c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3" customHeight="1">
      <x:c r="A54" s="17" t="str">
        <x:v>p99 response time</x:v>
      </x:c>
      <x:c r="B54" s="17"/>
      <x:c r="C54" s="17"/>
      <x:c r="D54" s="17"/>
      <x:c r="E54" s="17"/>
      <x:c r="F54" s="17"/>
      <x:c r="G54" s="17"/>
      <x:c r="H54" s="17"/>
      <x:c r="I54" s="17"/>
    </x:row>
    <x:row r="55" ht="23" customHeight="1">
      <x:c r="A55" s="2" t="str">
        <x:v>Unit: p99 response (ms).</x:v>
      </x:c>
      <x:c r="B55" s="2"/>
      <x:c r="C55" s="2"/>
      <x:c r="D55" s="2"/>
      <x:c r="E55" s="2"/>
      <x:c r="F55" s="2"/>
      <x:c r="G55" s="2"/>
      <x:c r="H55" s="2"/>
      <x:c r="I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35" customHeight="1">
      <x:c r="A57" s="8" t="str">
        <x:v>Condition</x:v>
      </x:c>
      <x:c r="B57" s="8" t="str">
        <x:v>Chart label</x:v>
      </x:c>
      <x:c r="C57" s="8" t="str">
        <x:v>Runs</x:v>
      </x:c>
      <x:c r="D57" s="8" t="str">
        <x:v>Run 1</x:v>
      </x:c>
      <x:c r="E57" s="8" t="str">
        <x:v>Run 2</x:v>
      </x:c>
      <x:c r="F57" s="8" t="str">
        <x:v>Run 3</x:v>
      </x:c>
      <x:c r="G57" s="8" t="str">
        <x:v>Mean</x:v>
      </x:c>
      <x:c r="H57" s="8" t="str">
        <x:v>Minimum</x:v>
      </x:c>
      <x:c r="I57" s="8" t="str">
        <x:v>Maximum</x:v>
      </x:c>
    </x:row>
    <x:row r="58" ht="30" customHeight="1">
      <x:c r="A58" s="2" t="str">
        <x:v>baseline</x:v>
      </x:c>
      <x:c r="B58" s="18" t="str">
        <x:v>Base</x:v>
      </x:c>
      <x:c r="C58" s="11" t="n">
        <x:f>COUNTIFS('Runs'!$A$7:$A$87,"primary",'Runs'!$B$7:$B$87,$A58)</x:f>
        <x:v>3</x:v>
      </x:c>
      <x:c r="D58" s="32" t="n">
        <x:f>IF(COUNTIFS('Runs'!$A$7:$A$87,"primary",'Runs'!$B$7:$B$87,$A58,'Runs'!$C$7:$C$87,1)=1,SUMIFS('Runs'!$H$7:$H$87,'Runs'!$A$7:$A$87,"primary",'Runs'!$B$7:$B$87,$A58,'Runs'!$C$7:$C$87,1),NA())</x:f>
        <x:v>0.156826</x:v>
      </x:c>
      <x:c r="E58" s="32" t="n">
        <x:f>IF(COUNTIFS('Runs'!$A$7:$A$87,"primary",'Runs'!$B$7:$B$87,$A58,'Runs'!$C$7:$C$87,2)=1,SUMIFS('Runs'!$H$7:$H$87,'Runs'!$A$7:$A$87,"primary",'Runs'!$B$7:$B$87,$A58,'Runs'!$C$7:$C$87,2),NA())</x:f>
        <x:v>0.15615</x:v>
      </x:c>
      <x:c r="F58" s="32" t="n">
        <x:f>IF(COUNTIFS('Runs'!$A$7:$A$87,"primary",'Runs'!$B$7:$B$87,$A58,'Runs'!$C$7:$C$87,3)=1,SUMIFS('Runs'!$H$7:$H$87,'Runs'!$A$7:$A$87,"primary",'Runs'!$B$7:$B$87,$A58,'Runs'!$C$7:$C$87,3),NA())</x:f>
        <x:v>0.15949</x:v>
      </x:c>
      <x:c r="G58" s="32" t="n">
        <x:f>AVERAGE(D58:F58)</x:f>
        <x:v>0.1574886666666667</x:v>
      </x:c>
      <x:c r="H58" s="32" t="n">
        <x:f>MIN(D58:F58)</x:f>
        <x:v>0.15615</x:v>
      </x:c>
      <x:c r="I58" s="32" t="n">
        <x:f>MAX(D58:F58)</x:f>
        <x:v>0.15949</x:v>
      </x:c>
    </x:row>
    <x:row r="59" ht="30" customHeight="1">
      <x:c r="A59" s="2" t="str">
        <x:v>cores_3</x:v>
      </x:c>
      <x:c r="B59" s="18" t="str">
        <x:v>Cores
3</x:v>
      </x:c>
      <x:c r="C59" s="11" t="n">
        <x:f>COUNTIFS('Runs'!$A$7:$A$87,"primary",'Runs'!$B$7:$B$87,$A59)</x:f>
        <x:v>3</x:v>
      </x:c>
      <x:c r="D59" s="32" t="n">
        <x:f>IF(COUNTIFS('Runs'!$A$7:$A$87,"primary",'Runs'!$B$7:$B$87,$A59,'Runs'!$C$7:$C$87,1)=1,SUMIFS('Runs'!$H$7:$H$87,'Runs'!$A$7:$A$87,"primary",'Runs'!$B$7:$B$87,$A59,'Runs'!$C$7:$C$87,1),NA())</x:f>
        <x:v>0.165871</x:v>
      </x:c>
      <x:c r="E59" s="32" t="n">
        <x:f>IF(COUNTIFS('Runs'!$A$7:$A$87,"primary",'Runs'!$B$7:$B$87,$A59,'Runs'!$C$7:$C$87,2)=1,SUMIFS('Runs'!$H$7:$H$87,'Runs'!$A$7:$A$87,"primary",'Runs'!$B$7:$B$87,$A59,'Runs'!$C$7:$C$87,2),NA())</x:f>
        <x:v>0.160804</x:v>
      </x:c>
      <x:c r="F59" s="32" t="n">
        <x:f>IF(COUNTIFS('Runs'!$A$7:$A$87,"primary",'Runs'!$B$7:$B$87,$A59,'Runs'!$C$7:$C$87,3)=1,SUMIFS('Runs'!$H$7:$H$87,'Runs'!$A$7:$A$87,"primary",'Runs'!$B$7:$B$87,$A59,'Runs'!$C$7:$C$87,3),NA())</x:f>
        <x:v>0.159643</x:v>
      </x:c>
      <x:c r="G59" s="32" t="n">
        <x:f>AVERAGE(D59:F59)</x:f>
        <x:v>0.162106</x:v>
      </x:c>
      <x:c r="H59" s="32" t="n">
        <x:f>MIN(D59:F59)</x:f>
        <x:v>0.159643</x:v>
      </x:c>
      <x:c r="I59" s="32" t="n">
        <x:f>MAX(D59:F59)</x:f>
        <x:v>0.165871</x:v>
      </x:c>
    </x:row>
    <x:row r="60" ht="30" customHeight="1">
      <x:c r="A60" s="2" t="str">
        <x:v>cores_2</x:v>
      </x:c>
      <x:c r="B60" s="18" t="str">
        <x:v>Cores
2</x:v>
      </x:c>
      <x:c r="C60" s="11" t="n">
        <x:f>COUNTIFS('Runs'!$A$7:$A$87,"primary",'Runs'!$B$7:$B$87,$A60)</x:f>
        <x:v>3</x:v>
      </x:c>
      <x:c r="D60" s="32" t="n">
        <x:f>IF(COUNTIFS('Runs'!$A$7:$A$87,"primary",'Runs'!$B$7:$B$87,$A60,'Runs'!$C$7:$C$87,1)=1,SUMIFS('Runs'!$H$7:$H$87,'Runs'!$A$7:$A$87,"primary",'Runs'!$B$7:$B$87,$A60,'Runs'!$C$7:$C$87,1),NA())</x:f>
        <x:v>0.185474</x:v>
      </x:c>
      <x:c r="E60" s="32" t="n">
        <x:f>IF(COUNTIFS('Runs'!$A$7:$A$87,"primary",'Runs'!$B$7:$B$87,$A60,'Runs'!$C$7:$C$87,2)=1,SUMIFS('Runs'!$H$7:$H$87,'Runs'!$A$7:$A$87,"primary",'Runs'!$B$7:$B$87,$A60,'Runs'!$C$7:$C$87,2),NA())</x:f>
        <x:v>0.170059</x:v>
      </x:c>
      <x:c r="F60" s="32" t="n">
        <x:f>IF(COUNTIFS('Runs'!$A$7:$A$87,"primary",'Runs'!$B$7:$B$87,$A60,'Runs'!$C$7:$C$87,3)=1,SUMIFS('Runs'!$H$7:$H$87,'Runs'!$A$7:$A$87,"primary",'Runs'!$B$7:$B$87,$A60,'Runs'!$C$7:$C$87,3),NA())</x:f>
        <x:v>0.177065</x:v>
      </x:c>
      <x:c r="G60" s="32" t="n">
        <x:f>AVERAGE(D60:F60)</x:f>
        <x:v>0.17753266666666667</x:v>
      </x:c>
      <x:c r="H60" s="32" t="n">
        <x:f>MIN(D60:F60)</x:f>
        <x:v>0.170059</x:v>
      </x:c>
      <x:c r="I60" s="32" t="n">
        <x:f>MAX(D60:F60)</x:f>
        <x:v>0.185474</x:v>
      </x:c>
    </x:row>
    <x:row r="61" ht="30" customHeight="1">
      <x:c r="A61" s="2" t="str">
        <x:v>cores_1</x:v>
      </x:c>
      <x:c r="B61" s="18" t="str">
        <x:v>Cores
1</x:v>
      </x:c>
      <x:c r="C61" s="11" t="n">
        <x:f>COUNTIFS('Runs'!$A$7:$A$87,"primary",'Runs'!$B$7:$B$87,$A61)</x:f>
        <x:v>3</x:v>
      </x:c>
      <x:c r="D61" s="32" t="n">
        <x:f>IF(COUNTIFS('Runs'!$A$7:$A$87,"primary",'Runs'!$B$7:$B$87,$A61,'Runs'!$C$7:$C$87,1)=1,SUMIFS('Runs'!$H$7:$H$87,'Runs'!$A$7:$A$87,"primary",'Runs'!$B$7:$B$87,$A61,'Runs'!$C$7:$C$87,1),NA())</x:f>
        <x:v>0.234399</x:v>
      </x:c>
      <x:c r="E61" s="32" t="n">
        <x:f>IF(COUNTIFS('Runs'!$A$7:$A$87,"primary",'Runs'!$B$7:$B$87,$A61,'Runs'!$C$7:$C$87,2)=1,SUMIFS('Runs'!$H$7:$H$87,'Runs'!$A$7:$A$87,"primary",'Runs'!$B$7:$B$87,$A61,'Runs'!$C$7:$C$87,2),NA())</x:f>
        <x:v>0.217235</x:v>
      </x:c>
      <x:c r="F61" s="32" t="n">
        <x:f>IF(COUNTIFS('Runs'!$A$7:$A$87,"primary",'Runs'!$B$7:$B$87,$A61,'Runs'!$C$7:$C$87,3)=1,SUMIFS('Runs'!$H$7:$H$87,'Runs'!$A$7:$A$87,"primary",'Runs'!$B$7:$B$87,$A61,'Runs'!$C$7:$C$87,3),NA())</x:f>
        <x:v>0.209922</x:v>
      </x:c>
      <x:c r="G61" s="32" t="n">
        <x:f>AVERAGE(D61:F61)</x:f>
        <x:v>0.22051866666666667</x:v>
      </x:c>
      <x:c r="H61" s="32" t="n">
        <x:f>MIN(D61:F61)</x:f>
        <x:v>0.209922</x:v>
      </x:c>
      <x:c r="I61" s="32" t="n">
        <x:f>MAX(D61:F61)</x:f>
        <x:v>0.234399</x:v>
      </x:c>
    </x:row>
    <x:row r="62" ht="30" customHeight="1">
      <x:c r="A62" s="2" t="str">
        <x:v>governor_powersave</x:v>
      </x:c>
      <x:c r="B62" s="18" t="str">
        <x:v>Gov
power</x:v>
      </x:c>
      <x:c r="C62" s="11" t="n">
        <x:f>COUNTIFS('Runs'!$A$7:$A$87,"primary",'Runs'!$B$7:$B$87,$A62)</x:f>
        <x:v>3</x:v>
      </x:c>
      <x:c r="D62" s="32" t="n">
        <x:f>IF(COUNTIFS('Runs'!$A$7:$A$87,"primary",'Runs'!$B$7:$B$87,$A62,'Runs'!$C$7:$C$87,1)=1,SUMIFS('Runs'!$H$7:$H$87,'Runs'!$A$7:$A$87,"primary",'Runs'!$B$7:$B$87,$A62,'Runs'!$C$7:$C$87,1),NA())</x:f>
        <x:v>0.194704</x:v>
      </x:c>
      <x:c r="E62" s="32" t="n">
        <x:f>IF(COUNTIFS('Runs'!$A$7:$A$87,"primary",'Runs'!$B$7:$B$87,$A62,'Runs'!$C$7:$C$87,2)=1,SUMIFS('Runs'!$H$7:$H$87,'Runs'!$A$7:$A$87,"primary",'Runs'!$B$7:$B$87,$A62,'Runs'!$C$7:$C$87,2),NA())</x:f>
        <x:v>0.186885</x:v>
      </x:c>
      <x:c r="F62" s="32" t="n">
        <x:f>IF(COUNTIFS('Runs'!$A$7:$A$87,"primary",'Runs'!$B$7:$B$87,$A62,'Runs'!$C$7:$C$87,3)=1,SUMIFS('Runs'!$H$7:$H$87,'Runs'!$A$7:$A$87,"primary",'Runs'!$B$7:$B$87,$A62,'Runs'!$C$7:$C$87,3),NA())</x:f>
        <x:v>0.184151</x:v>
      </x:c>
      <x:c r="G62" s="32" t="n">
        <x:f>AVERAGE(D62:F62)</x:f>
        <x:v>0.18857999999999997</x:v>
      </x:c>
      <x:c r="H62" s="32" t="n">
        <x:f>MIN(D62:F62)</x:f>
        <x:v>0.184151</x:v>
      </x:c>
      <x:c r="I62" s="32" t="n">
        <x:f>MAX(D62:F62)</x:f>
        <x:v>0.194704</x:v>
      </x:c>
    </x:row>
    <x:row r="63" ht="30" customHeight="1">
      <x:c r="A63" s="2" t="str">
        <x:v>governor_ondemand</x:v>
      </x:c>
      <x:c r="B63" s="18" t="str">
        <x:v>Gov
on-demand</x:v>
      </x:c>
      <x:c r="C63" s="11" t="n">
        <x:f>COUNTIFS('Runs'!$A$7:$A$87,"primary",'Runs'!$B$7:$B$87,$A63)</x:f>
        <x:v>3</x:v>
      </x:c>
      <x:c r="D63" s="32" t="n">
        <x:f>IF(COUNTIFS('Runs'!$A$7:$A$87,"primary",'Runs'!$B$7:$B$87,$A63,'Runs'!$C$7:$C$87,1)=1,SUMIFS('Runs'!$H$7:$H$87,'Runs'!$A$7:$A$87,"primary",'Runs'!$B$7:$B$87,$A63,'Runs'!$C$7:$C$87,1),NA())</x:f>
        <x:v>0.188515</x:v>
      </x:c>
      <x:c r="E63" s="32" t="n">
        <x:f>IF(COUNTIFS('Runs'!$A$7:$A$87,"primary",'Runs'!$B$7:$B$87,$A63,'Runs'!$C$7:$C$87,2)=1,SUMIFS('Runs'!$H$7:$H$87,'Runs'!$A$7:$A$87,"primary",'Runs'!$B$7:$B$87,$A63,'Runs'!$C$7:$C$87,2),NA())</x:f>
        <x:v>0.191256</x:v>
      </x:c>
      <x:c r="F63" s="32" t="n">
        <x:f>IF(COUNTIFS('Runs'!$A$7:$A$87,"primary",'Runs'!$B$7:$B$87,$A63,'Runs'!$C$7:$C$87,3)=1,SUMIFS('Runs'!$H$7:$H$87,'Runs'!$A$7:$A$87,"primary",'Runs'!$B$7:$B$87,$A63,'Runs'!$C$7:$C$87,3),NA())</x:f>
        <x:v>0.194721</x:v>
      </x:c>
      <x:c r="G63" s="32" t="n">
        <x:f>AVERAGE(D63:F63)</x:f>
        <x:v>0.19149733333333332</x:v>
      </x:c>
      <x:c r="H63" s="32" t="n">
        <x:f>MIN(D63:F63)</x:f>
        <x:v>0.188515</x:v>
      </x:c>
      <x:c r="I63" s="32" t="n">
        <x:f>MAX(D63:F63)</x:f>
        <x:v>0.194721</x:v>
      </x:c>
    </x:row>
    <x:row r="64" ht="30" customHeight="1">
      <x:c r="A64" s="2" t="str">
        <x:v>ram_4</x:v>
      </x:c>
      <x:c r="B64" s="18" t="str">
        <x:v>RAM
4 GiB</x:v>
      </x:c>
      <x:c r="C64" s="11" t="n">
        <x:f>COUNTIFS('Runs'!$A$7:$A$87,"primary",'Runs'!$B$7:$B$87,$A64)</x:f>
        <x:v>3</x:v>
      </x:c>
      <x:c r="D64" s="32" t="n">
        <x:f>IF(COUNTIFS('Runs'!$A$7:$A$87,"primary",'Runs'!$B$7:$B$87,$A64,'Runs'!$C$7:$C$87,1)=1,SUMIFS('Runs'!$H$7:$H$87,'Runs'!$A$7:$A$87,"primary",'Runs'!$B$7:$B$87,$A64,'Runs'!$C$7:$C$87,1),NA())</x:f>
        <x:v>0.222837</x:v>
      </x:c>
      <x:c r="E64" s="32" t="n">
        <x:f>IF(COUNTIFS('Runs'!$A$7:$A$87,"primary",'Runs'!$B$7:$B$87,$A64,'Runs'!$C$7:$C$87,2)=1,SUMIFS('Runs'!$H$7:$H$87,'Runs'!$A$7:$A$87,"primary",'Runs'!$B$7:$B$87,$A64,'Runs'!$C$7:$C$87,2),NA())</x:f>
        <x:v>0.205653</x:v>
      </x:c>
      <x:c r="F64" s="32" t="n">
        <x:f>IF(COUNTIFS('Runs'!$A$7:$A$87,"primary",'Runs'!$B$7:$B$87,$A64,'Runs'!$C$7:$C$87,3)=1,SUMIFS('Runs'!$H$7:$H$87,'Runs'!$A$7:$A$87,"primary",'Runs'!$B$7:$B$87,$A64,'Runs'!$C$7:$C$87,3),NA())</x:f>
        <x:v>0.162102</x:v>
      </x:c>
      <x:c r="G64" s="32" t="n">
        <x:f>AVERAGE(D64:F64)</x:f>
        <x:v>0.196864</x:v>
      </x:c>
      <x:c r="H64" s="32" t="n">
        <x:f>MIN(D64:F64)</x:f>
        <x:v>0.162102</x:v>
      </x:c>
      <x:c r="I64" s="32" t="n">
        <x:f>MAX(D64:F64)</x:f>
        <x:v>0.222837</x:v>
      </x:c>
    </x:row>
    <x:row r="65" ht="30" customHeight="1">
      <x:c r="A65" s="2" t="str">
        <x:v>ram_2</x:v>
      </x:c>
      <x:c r="B65" s="18" t="str">
        <x:v>RAM
2 GiB</x:v>
      </x:c>
      <x:c r="C65" s="11" t="n">
        <x:f>COUNTIFS('Runs'!$A$7:$A$87,"primary",'Runs'!$B$7:$B$87,$A65)</x:f>
        <x:v>3</x:v>
      </x:c>
      <x:c r="D65" s="32" t="n">
        <x:f>IF(COUNTIFS('Runs'!$A$7:$A$87,"primary",'Runs'!$B$7:$B$87,$A65,'Runs'!$C$7:$C$87,1)=1,SUMIFS('Runs'!$H$7:$H$87,'Runs'!$A$7:$A$87,"primary",'Runs'!$B$7:$B$87,$A65,'Runs'!$C$7:$C$87,1),NA())</x:f>
        <x:v>0.340124</x:v>
      </x:c>
      <x:c r="E65" s="32" t="n">
        <x:f>IF(COUNTIFS('Runs'!$A$7:$A$87,"primary",'Runs'!$B$7:$B$87,$A65,'Runs'!$C$7:$C$87,2)=1,SUMIFS('Runs'!$H$7:$H$87,'Runs'!$A$7:$A$87,"primary",'Runs'!$B$7:$B$87,$A65,'Runs'!$C$7:$C$87,2),NA())</x:f>
        <x:v>0.18607</x:v>
      </x:c>
      <x:c r="F65" s="32" t="n">
        <x:f>IF(COUNTIFS('Runs'!$A$7:$A$87,"primary",'Runs'!$B$7:$B$87,$A65,'Runs'!$C$7:$C$87,3)=1,SUMIFS('Runs'!$H$7:$H$87,'Runs'!$A$7:$A$87,"primary",'Runs'!$B$7:$B$87,$A65,'Runs'!$C$7:$C$87,3),NA())</x:f>
        <x:v>0.191608</x:v>
      </x:c>
      <x:c r="G65" s="32" t="n">
        <x:f>AVERAGE(D65:F65)</x:f>
        <x:v>0.23926733333333336</x:v>
      </x:c>
      <x:c r="H65" s="32" t="n">
        <x:f>MIN(D65:F65)</x:f>
        <x:v>0.18607</x:v>
      </x:c>
      <x:c r="I65" s="32" t="n">
        <x:f>MAX(D65:F65)</x:f>
        <x:v>0.340124</x:v>
      </x:c>
    </x:row>
    <x:row r="66" ht="30" customHeight="1">
      <x:c r="A66" s="2" t="str">
        <x:v>ram_1.5</x:v>
      </x:c>
      <x:c r="B66" s="18" t="str">
        <x:v>RAM
1.5 GiB</x:v>
      </x:c>
      <x:c r="C66" s="11" t="n">
        <x:f>COUNTIFS('Runs'!$A$7:$A$87,"primary",'Runs'!$B$7:$B$87,$A66)</x:f>
        <x:v>3</x:v>
      </x:c>
      <x:c r="D66" s="32" t="n">
        <x:f>IF(COUNTIFS('Runs'!$A$7:$A$87,"primary",'Runs'!$B$7:$B$87,$A66,'Runs'!$C$7:$C$87,1)=1,SUMIFS('Runs'!$H$7:$H$87,'Runs'!$A$7:$A$87,"primary",'Runs'!$B$7:$B$87,$A66,'Runs'!$C$7:$C$87,1),NA())</x:f>
        <x:v>0.497044</x:v>
      </x:c>
      <x:c r="E66" s="32" t="n">
        <x:f>IF(COUNTIFS('Runs'!$A$7:$A$87,"primary",'Runs'!$B$7:$B$87,$A66,'Runs'!$C$7:$C$87,2)=1,SUMIFS('Runs'!$H$7:$H$87,'Runs'!$A$7:$A$87,"primary",'Runs'!$B$7:$B$87,$A66,'Runs'!$C$7:$C$87,2),NA())</x:f>
        <x:v>0.329681</x:v>
      </x:c>
      <x:c r="F66" s="32" t="n">
        <x:f>IF(COUNTIFS('Runs'!$A$7:$A$87,"primary",'Runs'!$B$7:$B$87,$A66,'Runs'!$C$7:$C$87,3)=1,SUMIFS('Runs'!$H$7:$H$87,'Runs'!$A$7:$A$87,"primary",'Runs'!$B$7:$B$87,$A66,'Runs'!$C$7:$C$87,3),NA())</x:f>
        <x:v>0.189248</x:v>
      </x:c>
      <x:c r="G66" s="32" t="n">
        <x:f>AVERAGE(D66:F66)</x:f>
        <x:v>0.3386576666666667</x:v>
      </x:c>
      <x:c r="H66" s="32" t="n">
        <x:f>MIN(D66:F66)</x:f>
        <x:v>0.189248</x:v>
      </x:c>
      <x:c r="I66" s="32" t="n">
        <x:f>MAX(D66:F66)</x:f>
        <x:v>0.497044</x:v>
      </x:c>
    </x:row>
    <x:row r="67" ht="30" customHeight="1">
      <x:c r="A67" s="2" t="str">
        <x:v>network_rx_10M</x:v>
      </x:c>
      <x:c r="B67" s="18" t="str">
        <x:v>Net
10M</x:v>
      </x:c>
      <x:c r="C67" s="11" t="n">
        <x:f>COUNTIFS('Runs'!$A$7:$A$87,"primary",'Runs'!$B$7:$B$87,$A67)</x:f>
        <x:v>3</x:v>
      </x:c>
      <x:c r="D67" s="32" t="n">
        <x:f>IF(COUNTIFS('Runs'!$A$7:$A$87,"primary",'Runs'!$B$7:$B$87,$A67,'Runs'!$C$7:$C$87,1)=1,SUMIFS('Runs'!$H$7:$H$87,'Runs'!$A$7:$A$87,"primary",'Runs'!$B$7:$B$87,$A67,'Runs'!$C$7:$C$87,1),NA())</x:f>
        <x:v>0.158879</x:v>
      </x:c>
      <x:c r="E67" s="32" t="n">
        <x:f>IF(COUNTIFS('Runs'!$A$7:$A$87,"primary",'Runs'!$B$7:$B$87,$A67,'Runs'!$C$7:$C$87,2)=1,SUMIFS('Runs'!$H$7:$H$87,'Runs'!$A$7:$A$87,"primary",'Runs'!$B$7:$B$87,$A67,'Runs'!$C$7:$C$87,2),NA())</x:f>
        <x:v>0.158153</x:v>
      </x:c>
      <x:c r="F67" s="32" t="n">
        <x:f>IF(COUNTIFS('Runs'!$A$7:$A$87,"primary",'Runs'!$B$7:$B$87,$A67,'Runs'!$C$7:$C$87,3)=1,SUMIFS('Runs'!$H$7:$H$87,'Runs'!$A$7:$A$87,"primary",'Runs'!$B$7:$B$87,$A67,'Runs'!$C$7:$C$87,3),NA())</x:f>
        <x:v>0.15985</x:v>
      </x:c>
      <x:c r="G67" s="32" t="n">
        <x:f>AVERAGE(D67:F67)</x:f>
        <x:v>0.15896066666666667</x:v>
      </x:c>
      <x:c r="H67" s="32" t="n">
        <x:f>MIN(D67:F67)</x:f>
        <x:v>0.158153</x:v>
      </x:c>
      <x:c r="I67" s="32" t="n">
        <x:f>MAX(D67:F67)</x:f>
        <x:v>0.15985</x:v>
      </x:c>
    </x:row>
    <x:row r="68" ht="30" customHeight="1">
      <x:c r="A68" s="2" t="str">
        <x:v>network_rx_50M</x:v>
      </x:c>
      <x:c r="B68" s="18" t="str">
        <x:v>Net
50M</x:v>
      </x:c>
      <x:c r="C68" s="11" t="n">
        <x:f>COUNTIFS('Runs'!$A$7:$A$87,"primary",'Runs'!$B$7:$B$87,$A68)</x:f>
        <x:v>3</x:v>
      </x:c>
      <x:c r="D68" s="32" t="n">
        <x:f>IF(COUNTIFS('Runs'!$A$7:$A$87,"primary",'Runs'!$B$7:$B$87,$A68,'Runs'!$C$7:$C$87,1)=1,SUMIFS('Runs'!$H$7:$H$87,'Runs'!$A$7:$A$87,"primary",'Runs'!$B$7:$B$87,$A68,'Runs'!$C$7:$C$87,1),NA())</x:f>
        <x:v>0.173526</x:v>
      </x:c>
      <x:c r="E68" s="32" t="n">
        <x:f>IF(COUNTIFS('Runs'!$A$7:$A$87,"primary",'Runs'!$B$7:$B$87,$A68,'Runs'!$C$7:$C$87,2)=1,SUMIFS('Runs'!$H$7:$H$87,'Runs'!$A$7:$A$87,"primary",'Runs'!$B$7:$B$87,$A68,'Runs'!$C$7:$C$87,2),NA())</x:f>
        <x:v>0.161416</x:v>
      </x:c>
      <x:c r="F68" s="32" t="n">
        <x:f>IF(COUNTIFS('Runs'!$A$7:$A$87,"primary",'Runs'!$B$7:$B$87,$A68,'Runs'!$C$7:$C$87,3)=1,SUMIFS('Runs'!$H$7:$H$87,'Runs'!$A$7:$A$87,"primary",'Runs'!$B$7:$B$87,$A68,'Runs'!$C$7:$C$87,3),NA())</x:f>
        <x:v>0.157749</x:v>
      </x:c>
      <x:c r="G68" s="32" t="n">
        <x:f>AVERAGE(D68:F68)</x:f>
        <x:v>0.16423033333333334</x:v>
      </x:c>
      <x:c r="H68" s="32" t="n">
        <x:f>MIN(D68:F68)</x:f>
        <x:v>0.157749</x:v>
      </x:c>
      <x:c r="I68" s="32" t="n">
        <x:f>MAX(D68:F68)</x:f>
        <x:v>0.173526</x:v>
      </x:c>
    </x:row>
    <x:row r="69" ht="30" customHeight="1">
      <x:c r="A69" s="2" t="str">
        <x:v>priority_quiet</x:v>
      </x:c>
      <x:c r="B69" s="18" t="str">
        <x:v>Pinned
quiet</x:v>
      </x:c>
      <x:c r="C69" s="11" t="n">
        <x:f>COUNTIFS('Runs'!$A$7:$A$87,"primary",'Runs'!$B$7:$B$87,$A69)</x:f>
        <x:v>3</x:v>
      </x:c>
      <x:c r="D69" s="32" t="n">
        <x:f>IF(COUNTIFS('Runs'!$A$7:$A$87,"primary",'Runs'!$B$7:$B$87,$A69,'Runs'!$C$7:$C$87,1)=1,SUMIFS('Runs'!$H$7:$H$87,'Runs'!$A$7:$A$87,"primary",'Runs'!$B$7:$B$87,$A69,'Runs'!$C$7:$C$87,1),NA())</x:f>
        <x:v>0.157691</x:v>
      </x:c>
      <x:c r="E69" s="32" t="n">
        <x:f>IF(COUNTIFS('Runs'!$A$7:$A$87,"primary",'Runs'!$B$7:$B$87,$A69,'Runs'!$C$7:$C$87,2)=1,SUMIFS('Runs'!$H$7:$H$87,'Runs'!$A$7:$A$87,"primary",'Runs'!$B$7:$B$87,$A69,'Runs'!$C$7:$C$87,2),NA())</x:f>
        <x:v>0.156837</x:v>
      </x:c>
      <x:c r="F69" s="32" t="n">
        <x:f>IF(COUNTIFS('Runs'!$A$7:$A$87,"primary",'Runs'!$B$7:$B$87,$A69,'Runs'!$C$7:$C$87,3)=1,SUMIFS('Runs'!$H$7:$H$87,'Runs'!$A$7:$A$87,"primary",'Runs'!$B$7:$B$87,$A69,'Runs'!$C$7:$C$87,3),NA())</x:f>
        <x:v>0.162156</x:v>
      </x:c>
      <x:c r="G69" s="32" t="n">
        <x:f>AVERAGE(D69:F69)</x:f>
        <x:v>0.15889466666666666</x:v>
      </x:c>
      <x:c r="H69" s="32" t="n">
        <x:f>MIN(D69:F69)</x:f>
        <x:v>0.156837</x:v>
      </x:c>
      <x:c r="I69" s="32" t="n">
        <x:f>MAX(D69:F69)</x:f>
        <x:v>0.162156</x:v>
      </x:c>
    </x:row>
    <x:row r="70" ht="30" customHeight="1">
      <x:c r="A70" s="2" t="str">
        <x:v>priority_nice_-10</x:v>
      </x:c>
      <x:c r="B70" s="18" t="str">
        <x:v>Nice
-10</x:v>
      </x:c>
      <x:c r="C70" s="11" t="n">
        <x:f>COUNTIFS('Runs'!$A$7:$A$87,"primary",'Runs'!$B$7:$B$87,$A70)</x:f>
        <x:v>3</x:v>
      </x:c>
      <x:c r="D70" s="32" t="n">
        <x:f>IF(COUNTIFS('Runs'!$A$7:$A$87,"primary",'Runs'!$B$7:$B$87,$A70,'Runs'!$C$7:$C$87,1)=1,SUMIFS('Runs'!$H$7:$H$87,'Runs'!$A$7:$A$87,"primary",'Runs'!$B$7:$B$87,$A70,'Runs'!$C$7:$C$87,1),NA())</x:f>
        <x:v>0.188976</x:v>
      </x:c>
      <x:c r="E70" s="32" t="n">
        <x:f>IF(COUNTIFS('Runs'!$A$7:$A$87,"primary",'Runs'!$B$7:$B$87,$A70,'Runs'!$C$7:$C$87,2)=1,SUMIFS('Runs'!$H$7:$H$87,'Runs'!$A$7:$A$87,"primary",'Runs'!$B$7:$B$87,$A70,'Runs'!$C$7:$C$87,2),NA())</x:f>
        <x:v>0.18041</x:v>
      </x:c>
      <x:c r="F70" s="32" t="n">
        <x:f>IF(COUNTIFS('Runs'!$A$7:$A$87,"primary",'Runs'!$B$7:$B$87,$A70,'Runs'!$C$7:$C$87,3)=1,SUMIFS('Runs'!$H$7:$H$87,'Runs'!$A$7:$A$87,"primary",'Runs'!$B$7:$B$87,$A70,'Runs'!$C$7:$C$87,3),NA())</x:f>
        <x:v>0.187925</x:v>
      </x:c>
      <x:c r="G70" s="32" t="n">
        <x:f>AVERAGE(D70:F70)</x:f>
        <x:v>0.18577033333333334</x:v>
      </x:c>
      <x:c r="H70" s="32" t="n">
        <x:f>MIN(D70:F70)</x:f>
        <x:v>0.18041</x:v>
      </x:c>
      <x:c r="I70" s="32" t="n">
        <x:f>MAX(D70:F70)</x:f>
        <x:v>0.188976</x:v>
      </x:c>
    </x:row>
    <x:row r="71" ht="30" customHeight="1">
      <x:c r="A71" s="2" t="str">
        <x:v>priority_nice_0</x:v>
      </x:c>
      <x:c r="B71" s="18" t="str">
        <x:v>Nice
0</x:v>
      </x:c>
      <x:c r="C71" s="11" t="n">
        <x:f>COUNTIFS('Runs'!$A$7:$A$87,"primary",'Runs'!$B$7:$B$87,$A71)</x:f>
        <x:v>3</x:v>
      </x:c>
      <x:c r="D71" s="32" t="n">
        <x:f>IF(COUNTIFS('Runs'!$A$7:$A$87,"primary",'Runs'!$B$7:$B$87,$A71,'Runs'!$C$7:$C$87,1)=1,SUMIFS('Runs'!$H$7:$H$87,'Runs'!$A$7:$A$87,"primary",'Runs'!$B$7:$B$87,$A71,'Runs'!$C$7:$C$87,1),NA())</x:f>
        <x:v>2.506843</x:v>
      </x:c>
      <x:c r="E71" s="32" t="n">
        <x:f>IF(COUNTIFS('Runs'!$A$7:$A$87,"primary",'Runs'!$B$7:$B$87,$A71,'Runs'!$C$7:$C$87,2)=1,SUMIFS('Runs'!$H$7:$H$87,'Runs'!$A$7:$A$87,"primary",'Runs'!$B$7:$B$87,$A71,'Runs'!$C$7:$C$87,2),NA())</x:f>
        <x:v>2.673165</x:v>
      </x:c>
      <x:c r="F71" s="32" t="n">
        <x:f>IF(COUNTIFS('Runs'!$A$7:$A$87,"primary",'Runs'!$B$7:$B$87,$A71,'Runs'!$C$7:$C$87,3)=1,SUMIFS('Runs'!$H$7:$H$87,'Runs'!$A$7:$A$87,"primary",'Runs'!$B$7:$B$87,$A71,'Runs'!$C$7:$C$87,3),NA())</x:f>
        <x:v>2.565668</x:v>
      </x:c>
      <x:c r="G71" s="32" t="n">
        <x:f>AVERAGE(D71:F71)</x:f>
        <x:v>2.581892</x:v>
      </x:c>
      <x:c r="H71" s="32" t="n">
        <x:f>MIN(D71:F71)</x:f>
        <x:v>2.506843</x:v>
      </x:c>
      <x:c r="I71" s="32" t="n">
        <x:f>MAX(D71:F71)</x:f>
        <x:v>2.673165</x:v>
      </x:c>
    </x:row>
    <x:row r="72" ht="30" customHeight="1">
      <x:c r="A72" s="2" t="str">
        <x:v>priority_nice_10</x:v>
      </x:c>
      <x:c r="B72" s="18" t="str">
        <x:v>Nice
+10</x:v>
      </x:c>
      <x:c r="C72" s="11" t="n">
        <x:f>COUNTIFS('Runs'!$A$7:$A$87,"primary",'Runs'!$B$7:$B$87,$A72)</x:f>
        <x:v>3</x:v>
      </x:c>
      <x:c r="D72" s="32" t="n">
        <x:f>IF(COUNTIFS('Runs'!$A$7:$A$87,"primary",'Runs'!$B$7:$B$87,$A72,'Runs'!$C$7:$C$87,1)=1,SUMIFS('Runs'!$H$7:$H$87,'Runs'!$A$7:$A$87,"primary",'Runs'!$B$7:$B$87,$A72,'Runs'!$C$7:$C$87,1),NA())</x:f>
        <x:v>2.636623</x:v>
      </x:c>
      <x:c r="E72" s="32" t="n">
        <x:f>IF(COUNTIFS('Runs'!$A$7:$A$87,"primary",'Runs'!$B$7:$B$87,$A72,'Runs'!$C$7:$C$87,2)=1,SUMIFS('Runs'!$H$7:$H$87,'Runs'!$A$7:$A$87,"primary",'Runs'!$B$7:$B$87,$A72,'Runs'!$C$7:$C$87,2),NA())</x:f>
        <x:v>3.617209</x:v>
      </x:c>
      <x:c r="F72" s="32" t="n">
        <x:f>IF(COUNTIFS('Runs'!$A$7:$A$87,"primary",'Runs'!$B$7:$B$87,$A72,'Runs'!$C$7:$C$87,3)=1,SUMIFS('Runs'!$H$7:$H$87,'Runs'!$A$7:$A$87,"primary",'Runs'!$B$7:$B$87,$A72,'Runs'!$C$7:$C$87,3),NA())</x:f>
        <x:v>2.670888</x:v>
      </x:c>
      <x:c r="G72" s="32" t="n">
        <x:f>AVERAGE(D72:F72)</x:f>
        <x:v>2.974906666666667</x:v>
      </x:c>
      <x:c r="H72" s="32" t="n">
        <x:f>MIN(D72:F72)</x:f>
        <x:v>2.636623</x:v>
      </x:c>
      <x:c r="I72" s="32" t="n">
        <x:f>MAX(D72:F72)</x:f>
        <x:v>3.617209</x:v>
      </x:c>
    </x:row>
    <x:row r="73" ht="30" customHeight="1">
      <x:c r="A73" s="2" t="str">
        <x:v>priority_nice_19</x:v>
      </x:c>
      <x:c r="B73" s="18" t="str">
        <x:v>Nice
+19</x:v>
      </x:c>
      <x:c r="C73" s="11" t="n">
        <x:f>COUNTIFS('Runs'!$A$7:$A$87,"primary",'Runs'!$B$7:$B$87,$A73)</x:f>
        <x:v>3</x:v>
      </x:c>
      <x:c r="D73" s="32" t="n">
        <x:f>IF(COUNTIFS('Runs'!$A$7:$A$87,"primary",'Runs'!$B$7:$B$87,$A73,'Runs'!$C$7:$C$87,1)=1,SUMIFS('Runs'!$H$7:$H$87,'Runs'!$A$7:$A$87,"primary",'Runs'!$B$7:$B$87,$A73,'Runs'!$C$7:$C$87,1),NA())</x:f>
        <x:v>4.108801</x:v>
      </x:c>
      <x:c r="E73" s="32" t="n">
        <x:f>IF(COUNTIFS('Runs'!$A$7:$A$87,"primary",'Runs'!$B$7:$B$87,$A73,'Runs'!$C$7:$C$87,2)=1,SUMIFS('Runs'!$H$7:$H$87,'Runs'!$A$7:$A$87,"primary",'Runs'!$B$7:$B$87,$A73,'Runs'!$C$7:$C$87,2),NA())</x:f>
        <x:v>2.703571</x:v>
      </x:c>
      <x:c r="F73" s="32" t="n">
        <x:f>IF(COUNTIFS('Runs'!$A$7:$A$87,"primary",'Runs'!$B$7:$B$87,$A73,'Runs'!$C$7:$C$87,3)=1,SUMIFS('Runs'!$H$7:$H$87,'Runs'!$A$7:$A$87,"primary",'Runs'!$B$7:$B$87,$A73,'Runs'!$C$7:$C$87,3),NA())</x:f>
        <x:v>2.674644</x:v>
      </x:c>
      <x:c r="G73" s="32" t="n">
        <x:f>AVERAGE(D73:F73)</x:f>
        <x:v>3.162338666666667</x:v>
      </x:c>
      <x:c r="H73" s="32" t="n">
        <x:f>MIN(D73:F73)</x:f>
        <x:v>2.674644</x:v>
      </x:c>
      <x:c r="I73" s="32" t="n">
        <x:f>MAX(D73:F73)</x:f>
        <x:v>4.108801</x:v>
      </x:c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</x:row>
    <x:row r="77" ht="23" customHeight="1">
      <x:c r="A77" s="17" t="str">
        <x:v>Maximum deadline overrun</x:v>
      </x:c>
      <x:c r="B77" s="17"/>
      <x:c r="C77" s="17"/>
      <x:c r="D77" s="17"/>
      <x:c r="E77" s="17"/>
      <x:c r="F77" s="17"/>
      <x:c r="G77" s="17"/>
      <x:c r="H77" s="17"/>
      <x:c r="I77" s="17"/>
    </x:row>
    <x:row r="78" ht="23" customHeight="1">
      <x:c r="A78" s="2" t="str">
        <x:v>Unit: Lateness beyond deadline (ms).</x:v>
      </x:c>
      <x:c r="B78" s="2"/>
      <x:c r="C78" s="2"/>
      <x:c r="D78" s="2"/>
      <x:c r="E78" s="2"/>
      <x:c r="F78" s="2"/>
      <x:c r="G78" s="2"/>
      <x:c r="H78" s="2"/>
      <x:c r="I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</x:row>
    <x:row r="80" ht="35" customHeight="1">
      <x:c r="A80" s="8" t="str">
        <x:v>Condition</x:v>
      </x:c>
      <x:c r="B80" s="8" t="str">
        <x:v>Chart label</x:v>
      </x:c>
      <x:c r="C80" s="8" t="str">
        <x:v>Runs</x:v>
      </x:c>
      <x:c r="D80" s="8" t="str">
        <x:v>Run 1</x:v>
      </x:c>
      <x:c r="E80" s="8" t="str">
        <x:v>Run 2</x:v>
      </x:c>
      <x:c r="F80" s="8" t="str">
        <x:v>Run 3</x:v>
      </x:c>
      <x:c r="G80" s="8" t="str">
        <x:v>Mean</x:v>
      </x:c>
      <x:c r="H80" s="8" t="str">
        <x:v>Minimum</x:v>
      </x:c>
      <x:c r="I80" s="8" t="str">
        <x:v>Maximum</x:v>
      </x:c>
    </x:row>
    <x:row r="81" ht="30" customHeight="1">
      <x:c r="A81" s="2" t="str">
        <x:v>baseline</x:v>
      </x:c>
      <x:c r="B81" s="18" t="str">
        <x:v>Base</x:v>
      </x:c>
      <x:c r="C81" s="11" t="n">
        <x:f>COUNTIFS('Runs'!$A$7:$A$87,"primary",'Runs'!$B$7:$B$87,$A81)</x:f>
        <x:v>3</x:v>
      </x:c>
      <x:c r="D81" s="34" t="n">
        <x:f>IF(COUNTIFS('Runs'!$A$7:$A$87,"primary",'Runs'!$B$7:$B$87,$A81,'Runs'!$C$7:$C$87,1)=1,SUMIFS('Runs'!$I$7:$I$87,'Runs'!$A$7:$A$87,"primary",'Runs'!$B$7:$B$87,$A81,'Runs'!$C$7:$C$87,1),NA())</x:f>
        <x:v>0</x:v>
      </x:c>
      <x:c r="E81" s="34" t="n">
        <x:f>IF(COUNTIFS('Runs'!$A$7:$A$87,"primary",'Runs'!$B$7:$B$87,$A81,'Runs'!$C$7:$C$87,2)=1,SUMIFS('Runs'!$I$7:$I$87,'Runs'!$A$7:$A$87,"primary",'Runs'!$B$7:$B$87,$A81,'Runs'!$C$7:$C$87,2),NA())</x:f>
        <x:v>0</x:v>
      </x:c>
      <x:c r="F81" s="34" t="n">
        <x:f>IF(COUNTIFS('Runs'!$A$7:$A$87,"primary",'Runs'!$B$7:$B$87,$A81,'Runs'!$C$7:$C$87,3)=1,SUMIFS('Runs'!$I$7:$I$87,'Runs'!$A$7:$A$87,"primary",'Runs'!$B$7:$B$87,$A81,'Runs'!$C$7:$C$87,3),NA())</x:f>
        <x:v>0</x:v>
      </x:c>
      <x:c r="G81" s="34" t="n">
        <x:f>AVERAGE(D81:F81)</x:f>
        <x:v>0</x:v>
      </x:c>
      <x:c r="H81" s="34" t="n">
        <x:f>MIN(D81:F81)</x:f>
        <x:v>0</x:v>
      </x:c>
      <x:c r="I81" s="34" t="n">
        <x:f>MAX(D81:F81)</x:f>
        <x:v>0</x:v>
      </x:c>
    </x:row>
    <x:row r="82" ht="30" customHeight="1">
      <x:c r="A82" s="2" t="str">
        <x:v>cores_3</x:v>
      </x:c>
      <x:c r="B82" s="18" t="str">
        <x:v>Cores
3</x:v>
      </x:c>
      <x:c r="C82" s="11" t="n">
        <x:f>COUNTIFS('Runs'!$A$7:$A$87,"primary",'Runs'!$B$7:$B$87,$A82)</x:f>
        <x:v>3</x:v>
      </x:c>
      <x:c r="D82" s="34" t="n">
        <x:f>IF(COUNTIFS('Runs'!$A$7:$A$87,"primary",'Runs'!$B$7:$B$87,$A82,'Runs'!$C$7:$C$87,1)=1,SUMIFS('Runs'!$I$7:$I$87,'Runs'!$A$7:$A$87,"primary",'Runs'!$B$7:$B$87,$A82,'Runs'!$C$7:$C$87,1),NA())</x:f>
        <x:v>0</x:v>
      </x:c>
      <x:c r="E82" s="34" t="n">
        <x:f>IF(COUNTIFS('Runs'!$A$7:$A$87,"primary",'Runs'!$B$7:$B$87,$A82,'Runs'!$C$7:$C$87,2)=1,SUMIFS('Runs'!$I$7:$I$87,'Runs'!$A$7:$A$87,"primary",'Runs'!$B$7:$B$87,$A82,'Runs'!$C$7:$C$87,2),NA())</x:f>
        <x:v>0</x:v>
      </x:c>
      <x:c r="F82" s="34" t="n">
        <x:f>IF(COUNTIFS('Runs'!$A$7:$A$87,"primary",'Runs'!$B$7:$B$87,$A82,'Runs'!$C$7:$C$87,3)=1,SUMIFS('Runs'!$I$7:$I$87,'Runs'!$A$7:$A$87,"primary",'Runs'!$B$7:$B$87,$A82,'Runs'!$C$7:$C$87,3),NA())</x:f>
        <x:v>0</x:v>
      </x:c>
      <x:c r="G82" s="34" t="n">
        <x:f>AVERAGE(D82:F82)</x:f>
        <x:v>0</x:v>
      </x:c>
      <x:c r="H82" s="34" t="n">
        <x:f>MIN(D82:F82)</x:f>
        <x:v>0</x:v>
      </x:c>
      <x:c r="I82" s="34" t="n">
        <x:f>MAX(D82:F82)</x:f>
        <x:v>0</x:v>
      </x:c>
    </x:row>
    <x:row r="83" ht="30" customHeight="1">
      <x:c r="A83" s="2" t="str">
        <x:v>cores_2</x:v>
      </x:c>
      <x:c r="B83" s="18" t="str">
        <x:v>Cores
2</x:v>
      </x:c>
      <x:c r="C83" s="11" t="n">
        <x:f>COUNTIFS('Runs'!$A$7:$A$87,"primary",'Runs'!$B$7:$B$87,$A83)</x:f>
        <x:v>3</x:v>
      </x:c>
      <x:c r="D83" s="34" t="n">
        <x:f>IF(COUNTIFS('Runs'!$A$7:$A$87,"primary",'Runs'!$B$7:$B$87,$A83,'Runs'!$C$7:$C$87,1)=1,SUMIFS('Runs'!$I$7:$I$87,'Runs'!$A$7:$A$87,"primary",'Runs'!$B$7:$B$87,$A83,'Runs'!$C$7:$C$87,1),NA())</x:f>
        <x:v>0</x:v>
      </x:c>
      <x:c r="E83" s="34" t="n">
        <x:f>IF(COUNTIFS('Runs'!$A$7:$A$87,"primary",'Runs'!$B$7:$B$87,$A83,'Runs'!$C$7:$C$87,2)=1,SUMIFS('Runs'!$I$7:$I$87,'Runs'!$A$7:$A$87,"primary",'Runs'!$B$7:$B$87,$A83,'Runs'!$C$7:$C$87,2),NA())</x:f>
        <x:v>0</x:v>
      </x:c>
      <x:c r="F83" s="34" t="n">
        <x:f>IF(COUNTIFS('Runs'!$A$7:$A$87,"primary",'Runs'!$B$7:$B$87,$A83,'Runs'!$C$7:$C$87,3)=1,SUMIFS('Runs'!$I$7:$I$87,'Runs'!$A$7:$A$87,"primary",'Runs'!$B$7:$B$87,$A83,'Runs'!$C$7:$C$87,3),NA())</x:f>
        <x:v>0</x:v>
      </x:c>
      <x:c r="G83" s="34" t="n">
        <x:f>AVERAGE(D83:F83)</x:f>
        <x:v>0</x:v>
      </x:c>
      <x:c r="H83" s="34" t="n">
        <x:f>MIN(D83:F83)</x:f>
        <x:v>0</x:v>
      </x:c>
      <x:c r="I83" s="34" t="n">
        <x:f>MAX(D83:F83)</x:f>
        <x:v>0</x:v>
      </x:c>
    </x:row>
    <x:row r="84" ht="30" customHeight="1">
      <x:c r="A84" s="2" t="str">
        <x:v>cores_1</x:v>
      </x:c>
      <x:c r="B84" s="18" t="str">
        <x:v>Cores
1</x:v>
      </x:c>
      <x:c r="C84" s="11" t="n">
        <x:f>COUNTIFS('Runs'!$A$7:$A$87,"primary",'Runs'!$B$7:$B$87,$A84)</x:f>
        <x:v>3</x:v>
      </x:c>
      <x:c r="D84" s="34" t="n">
        <x:f>IF(COUNTIFS('Runs'!$A$7:$A$87,"primary",'Runs'!$B$7:$B$87,$A84,'Runs'!$C$7:$C$87,1)=1,SUMIFS('Runs'!$I$7:$I$87,'Runs'!$A$7:$A$87,"primary",'Runs'!$B$7:$B$87,$A84,'Runs'!$C$7:$C$87,1),NA())</x:f>
        <x:v>0</x:v>
      </x:c>
      <x:c r="E84" s="34" t="n">
        <x:f>IF(COUNTIFS('Runs'!$A$7:$A$87,"primary",'Runs'!$B$7:$B$87,$A84,'Runs'!$C$7:$C$87,2)=1,SUMIFS('Runs'!$I$7:$I$87,'Runs'!$A$7:$A$87,"primary",'Runs'!$B$7:$B$87,$A84,'Runs'!$C$7:$C$87,2),NA())</x:f>
        <x:v>0</x:v>
      </x:c>
      <x:c r="F84" s="34" t="n">
        <x:f>IF(COUNTIFS('Runs'!$A$7:$A$87,"primary",'Runs'!$B$7:$B$87,$A84,'Runs'!$C$7:$C$87,3)=1,SUMIFS('Runs'!$I$7:$I$87,'Runs'!$A$7:$A$87,"primary",'Runs'!$B$7:$B$87,$A84,'Runs'!$C$7:$C$87,3),NA())</x:f>
        <x:v>0</x:v>
      </x:c>
      <x:c r="G84" s="34" t="n">
        <x:f>AVERAGE(D84:F84)</x:f>
        <x:v>0</x:v>
      </x:c>
      <x:c r="H84" s="34" t="n">
        <x:f>MIN(D84:F84)</x:f>
        <x:v>0</x:v>
      </x:c>
      <x:c r="I84" s="34" t="n">
        <x:f>MAX(D84:F84)</x:f>
        <x:v>0</x:v>
      </x:c>
    </x:row>
    <x:row r="85" ht="30" customHeight="1">
      <x:c r="A85" s="2" t="str">
        <x:v>governor_powersave</x:v>
      </x:c>
      <x:c r="B85" s="18" t="str">
        <x:v>Gov
power</x:v>
      </x:c>
      <x:c r="C85" s="11" t="n">
        <x:f>COUNTIFS('Runs'!$A$7:$A$87,"primary",'Runs'!$B$7:$B$87,$A85)</x:f>
        <x:v>3</x:v>
      </x:c>
      <x:c r="D85" s="34" t="n">
        <x:f>IF(COUNTIFS('Runs'!$A$7:$A$87,"primary",'Runs'!$B$7:$B$87,$A85,'Runs'!$C$7:$C$87,1)=1,SUMIFS('Runs'!$I$7:$I$87,'Runs'!$A$7:$A$87,"primary",'Runs'!$B$7:$B$87,$A85,'Runs'!$C$7:$C$87,1),NA())</x:f>
        <x:v>0</x:v>
      </x:c>
      <x:c r="E85" s="34" t="n">
        <x:f>IF(COUNTIFS('Runs'!$A$7:$A$87,"primary",'Runs'!$B$7:$B$87,$A85,'Runs'!$C$7:$C$87,2)=1,SUMIFS('Runs'!$I$7:$I$87,'Runs'!$A$7:$A$87,"primary",'Runs'!$B$7:$B$87,$A85,'Runs'!$C$7:$C$87,2),NA())</x:f>
        <x:v>0</x:v>
      </x:c>
      <x:c r="F85" s="34" t="n">
        <x:f>IF(COUNTIFS('Runs'!$A$7:$A$87,"primary",'Runs'!$B$7:$B$87,$A85,'Runs'!$C$7:$C$87,3)=1,SUMIFS('Runs'!$I$7:$I$87,'Runs'!$A$7:$A$87,"primary",'Runs'!$B$7:$B$87,$A85,'Runs'!$C$7:$C$87,3),NA())</x:f>
        <x:v>0</x:v>
      </x:c>
      <x:c r="G85" s="34" t="n">
        <x:f>AVERAGE(D85:F85)</x:f>
        <x:v>0</x:v>
      </x:c>
      <x:c r="H85" s="34" t="n">
        <x:f>MIN(D85:F85)</x:f>
        <x:v>0</x:v>
      </x:c>
      <x:c r="I85" s="34" t="n">
        <x:f>MAX(D85:F85)</x:f>
        <x:v>0</x:v>
      </x:c>
    </x:row>
    <x:row r="86" ht="30" customHeight="1">
      <x:c r="A86" s="2" t="str">
        <x:v>governor_ondemand</x:v>
      </x:c>
      <x:c r="B86" s="18" t="str">
        <x:v>Gov
on-demand</x:v>
      </x:c>
      <x:c r="C86" s="11" t="n">
        <x:f>COUNTIFS('Runs'!$A$7:$A$87,"primary",'Runs'!$B$7:$B$87,$A86)</x:f>
        <x:v>3</x:v>
      </x:c>
      <x:c r="D86" s="34" t="n">
        <x:f>IF(COUNTIFS('Runs'!$A$7:$A$87,"primary",'Runs'!$B$7:$B$87,$A86,'Runs'!$C$7:$C$87,1)=1,SUMIFS('Runs'!$I$7:$I$87,'Runs'!$A$7:$A$87,"primary",'Runs'!$B$7:$B$87,$A86,'Runs'!$C$7:$C$87,1),NA())</x:f>
        <x:v>0</x:v>
      </x:c>
      <x:c r="E86" s="34" t="n">
        <x:f>IF(COUNTIFS('Runs'!$A$7:$A$87,"primary",'Runs'!$B$7:$B$87,$A86,'Runs'!$C$7:$C$87,2)=1,SUMIFS('Runs'!$I$7:$I$87,'Runs'!$A$7:$A$87,"primary",'Runs'!$B$7:$B$87,$A86,'Runs'!$C$7:$C$87,2),NA())</x:f>
        <x:v>0</x:v>
      </x:c>
      <x:c r="F86" s="34" t="n">
        <x:f>IF(COUNTIFS('Runs'!$A$7:$A$87,"primary",'Runs'!$B$7:$B$87,$A86,'Runs'!$C$7:$C$87,3)=1,SUMIFS('Runs'!$I$7:$I$87,'Runs'!$A$7:$A$87,"primary",'Runs'!$B$7:$B$87,$A86,'Runs'!$C$7:$C$87,3),NA())</x:f>
        <x:v>0</x:v>
      </x:c>
      <x:c r="G86" s="34" t="n">
        <x:f>AVERAGE(D86:F86)</x:f>
        <x:v>0</x:v>
      </x:c>
      <x:c r="H86" s="34" t="n">
        <x:f>MIN(D86:F86)</x:f>
        <x:v>0</x:v>
      </x:c>
      <x:c r="I86" s="34" t="n">
        <x:f>MAX(D86:F86)</x:f>
        <x:v>0</x:v>
      </x:c>
    </x:row>
    <x:row r="87" ht="30" customHeight="1">
      <x:c r="A87" s="2" t="str">
        <x:v>ram_4</x:v>
      </x:c>
      <x:c r="B87" s="18" t="str">
        <x:v>RAM
4 GiB</x:v>
      </x:c>
      <x:c r="C87" s="11" t="n">
        <x:f>COUNTIFS('Runs'!$A$7:$A$87,"primary",'Runs'!$B$7:$B$87,$A87)</x:f>
        <x:v>3</x:v>
      </x:c>
      <x:c r="D87" s="34" t="n">
        <x:f>IF(COUNTIFS('Runs'!$A$7:$A$87,"primary",'Runs'!$B$7:$B$87,$A87,'Runs'!$C$7:$C$87,1)=1,SUMIFS('Runs'!$I$7:$I$87,'Runs'!$A$7:$A$87,"primary",'Runs'!$B$7:$B$87,$A87,'Runs'!$C$7:$C$87,1),NA())</x:f>
        <x:v>0</x:v>
      </x:c>
      <x:c r="E87" s="34" t="n">
        <x:f>IF(COUNTIFS('Runs'!$A$7:$A$87,"primary",'Runs'!$B$7:$B$87,$A87,'Runs'!$C$7:$C$87,2)=1,SUMIFS('Runs'!$I$7:$I$87,'Runs'!$A$7:$A$87,"primary",'Runs'!$B$7:$B$87,$A87,'Runs'!$C$7:$C$87,2),NA())</x:f>
        <x:v>0</x:v>
      </x:c>
      <x:c r="F87" s="34" t="n">
        <x:f>IF(COUNTIFS('Runs'!$A$7:$A$87,"primary",'Runs'!$B$7:$B$87,$A87,'Runs'!$C$7:$C$87,3)=1,SUMIFS('Runs'!$I$7:$I$87,'Runs'!$A$7:$A$87,"primary",'Runs'!$B$7:$B$87,$A87,'Runs'!$C$7:$C$87,3),NA())</x:f>
        <x:v>0</x:v>
      </x:c>
      <x:c r="G87" s="34" t="n">
        <x:f>AVERAGE(D87:F87)</x:f>
        <x:v>0</x:v>
      </x:c>
      <x:c r="H87" s="34" t="n">
        <x:f>MIN(D87:F87)</x:f>
        <x:v>0</x:v>
      </x:c>
      <x:c r="I87" s="34" t="n">
        <x:f>MAX(D87:F87)</x:f>
        <x:v>0</x:v>
      </x:c>
    </x:row>
    <x:row r="88" ht="30" customHeight="1">
      <x:c r="A88" s="2" t="str">
        <x:v>ram_2</x:v>
      </x:c>
      <x:c r="B88" s="18" t="str">
        <x:v>RAM
2 GiB</x:v>
      </x:c>
      <x:c r="C88" s="11" t="n">
        <x:f>COUNTIFS('Runs'!$A$7:$A$87,"primary",'Runs'!$B$7:$B$87,$A88)</x:f>
        <x:v>3</x:v>
      </x:c>
      <x:c r="D88" s="34" t="n">
        <x:f>IF(COUNTIFS('Runs'!$A$7:$A$87,"primary",'Runs'!$B$7:$B$87,$A88,'Runs'!$C$7:$C$87,1)=1,SUMIFS('Runs'!$I$7:$I$87,'Runs'!$A$7:$A$87,"primary",'Runs'!$B$7:$B$87,$A88,'Runs'!$C$7:$C$87,1),NA())</x:f>
        <x:v>0</x:v>
      </x:c>
      <x:c r="E88" s="34" t="n">
        <x:f>IF(COUNTIFS('Runs'!$A$7:$A$87,"primary",'Runs'!$B$7:$B$87,$A88,'Runs'!$C$7:$C$87,2)=1,SUMIFS('Runs'!$I$7:$I$87,'Runs'!$A$7:$A$87,"primary",'Runs'!$B$7:$B$87,$A88,'Runs'!$C$7:$C$87,2),NA())</x:f>
        <x:v>0</x:v>
      </x:c>
      <x:c r="F88" s="34" t="n">
        <x:f>IF(COUNTIFS('Runs'!$A$7:$A$87,"primary",'Runs'!$B$7:$B$87,$A88,'Runs'!$C$7:$C$87,3)=1,SUMIFS('Runs'!$I$7:$I$87,'Runs'!$A$7:$A$87,"primary",'Runs'!$B$7:$B$87,$A88,'Runs'!$C$7:$C$87,3),NA())</x:f>
        <x:v>0</x:v>
      </x:c>
      <x:c r="G88" s="34" t="n">
        <x:f>AVERAGE(D88:F88)</x:f>
        <x:v>0</x:v>
      </x:c>
      <x:c r="H88" s="34" t="n">
        <x:f>MIN(D88:F88)</x:f>
        <x:v>0</x:v>
      </x:c>
      <x:c r="I88" s="34" t="n">
        <x:f>MAX(D88:F88)</x:f>
        <x:v>0</x:v>
      </x:c>
    </x:row>
    <x:row r="89" ht="30" customHeight="1">
      <x:c r="A89" s="2" t="str">
        <x:v>ram_1.5</x:v>
      </x:c>
      <x:c r="B89" s="18" t="str">
        <x:v>RAM
1.5 GiB</x:v>
      </x:c>
      <x:c r="C89" s="11" t="n">
        <x:f>COUNTIFS('Runs'!$A$7:$A$87,"primary",'Runs'!$B$7:$B$87,$A89)</x:f>
        <x:v>3</x:v>
      </x:c>
      <x:c r="D89" s="34" t="n">
        <x:f>IF(COUNTIFS('Runs'!$A$7:$A$87,"primary",'Runs'!$B$7:$B$87,$A89,'Runs'!$C$7:$C$87,1)=1,SUMIFS('Runs'!$I$7:$I$87,'Runs'!$A$7:$A$87,"primary",'Runs'!$B$7:$B$87,$A89,'Runs'!$C$7:$C$87,1),NA())</x:f>
        <x:v>245.159335</x:v>
      </x:c>
      <x:c r="E89" s="34" t="n">
        <x:f>IF(COUNTIFS('Runs'!$A$7:$A$87,"primary",'Runs'!$B$7:$B$87,$A89,'Runs'!$C$7:$C$87,2)=1,SUMIFS('Runs'!$I$7:$I$87,'Runs'!$A$7:$A$87,"primary",'Runs'!$B$7:$B$87,$A89,'Runs'!$C$7:$C$87,2),NA())</x:f>
        <x:v>0</x:v>
      </x:c>
      <x:c r="F89" s="34" t="n">
        <x:f>IF(COUNTIFS('Runs'!$A$7:$A$87,"primary",'Runs'!$B$7:$B$87,$A89,'Runs'!$C$7:$C$87,3)=1,SUMIFS('Runs'!$I$7:$I$87,'Runs'!$A$7:$A$87,"primary",'Runs'!$B$7:$B$87,$A89,'Runs'!$C$7:$C$87,3),NA())</x:f>
        <x:v>0</x:v>
      </x:c>
      <x:c r="G89" s="34" t="n">
        <x:f>AVERAGE(D89:F89)</x:f>
        <x:v>81.71977833333334</x:v>
      </x:c>
      <x:c r="H89" s="34" t="n">
        <x:f>MIN(D89:F89)</x:f>
        <x:v>0</x:v>
      </x:c>
      <x:c r="I89" s="34" t="n">
        <x:f>MAX(D89:F89)</x:f>
        <x:v>245.159335</x:v>
      </x:c>
    </x:row>
    <x:row r="90" ht="30" customHeight="1">
      <x:c r="A90" s="2" t="str">
        <x:v>network_rx_10M</x:v>
      </x:c>
      <x:c r="B90" s="18" t="str">
        <x:v>Net
10M</x:v>
      </x:c>
      <x:c r="C90" s="11" t="n">
        <x:f>COUNTIFS('Runs'!$A$7:$A$87,"primary",'Runs'!$B$7:$B$87,$A90)</x:f>
        <x:v>3</x:v>
      </x:c>
      <x:c r="D90" s="34" t="n">
        <x:f>IF(COUNTIFS('Runs'!$A$7:$A$87,"primary",'Runs'!$B$7:$B$87,$A90,'Runs'!$C$7:$C$87,1)=1,SUMIFS('Runs'!$I$7:$I$87,'Runs'!$A$7:$A$87,"primary",'Runs'!$B$7:$B$87,$A90,'Runs'!$C$7:$C$87,1),NA())</x:f>
        <x:v>0</x:v>
      </x:c>
      <x:c r="E90" s="34" t="n">
        <x:f>IF(COUNTIFS('Runs'!$A$7:$A$87,"primary",'Runs'!$B$7:$B$87,$A90,'Runs'!$C$7:$C$87,2)=1,SUMIFS('Runs'!$I$7:$I$87,'Runs'!$A$7:$A$87,"primary",'Runs'!$B$7:$B$87,$A90,'Runs'!$C$7:$C$87,2),NA())</x:f>
        <x:v>0</x:v>
      </x:c>
      <x:c r="F90" s="34" t="n">
        <x:f>IF(COUNTIFS('Runs'!$A$7:$A$87,"primary",'Runs'!$B$7:$B$87,$A90,'Runs'!$C$7:$C$87,3)=1,SUMIFS('Runs'!$I$7:$I$87,'Runs'!$A$7:$A$87,"primary",'Runs'!$B$7:$B$87,$A90,'Runs'!$C$7:$C$87,3),NA())</x:f>
        <x:v>0</x:v>
      </x:c>
      <x:c r="G90" s="34" t="n">
        <x:f>AVERAGE(D90:F90)</x:f>
        <x:v>0</x:v>
      </x:c>
      <x:c r="H90" s="34" t="n">
        <x:f>MIN(D90:F90)</x:f>
        <x:v>0</x:v>
      </x:c>
      <x:c r="I90" s="34" t="n">
        <x:f>MAX(D90:F90)</x:f>
        <x:v>0</x:v>
      </x:c>
    </x:row>
    <x:row r="91" ht="30" customHeight="1">
      <x:c r="A91" s="2" t="str">
        <x:v>network_rx_50M</x:v>
      </x:c>
      <x:c r="B91" s="18" t="str">
        <x:v>Net
50M</x:v>
      </x:c>
      <x:c r="C91" s="11" t="n">
        <x:f>COUNTIFS('Runs'!$A$7:$A$87,"primary",'Runs'!$B$7:$B$87,$A91)</x:f>
        <x:v>3</x:v>
      </x:c>
      <x:c r="D91" s="34" t="n">
        <x:f>IF(COUNTIFS('Runs'!$A$7:$A$87,"primary",'Runs'!$B$7:$B$87,$A91,'Runs'!$C$7:$C$87,1)=1,SUMIFS('Runs'!$I$7:$I$87,'Runs'!$A$7:$A$87,"primary",'Runs'!$B$7:$B$87,$A91,'Runs'!$C$7:$C$87,1),NA())</x:f>
        <x:v>0</x:v>
      </x:c>
      <x:c r="E91" s="34" t="n">
        <x:f>IF(COUNTIFS('Runs'!$A$7:$A$87,"primary",'Runs'!$B$7:$B$87,$A91,'Runs'!$C$7:$C$87,2)=1,SUMIFS('Runs'!$I$7:$I$87,'Runs'!$A$7:$A$87,"primary",'Runs'!$B$7:$B$87,$A91,'Runs'!$C$7:$C$87,2),NA())</x:f>
        <x:v>0</x:v>
      </x:c>
      <x:c r="F91" s="34" t="n">
        <x:f>IF(COUNTIFS('Runs'!$A$7:$A$87,"primary",'Runs'!$B$7:$B$87,$A91,'Runs'!$C$7:$C$87,3)=1,SUMIFS('Runs'!$I$7:$I$87,'Runs'!$A$7:$A$87,"primary",'Runs'!$B$7:$B$87,$A91,'Runs'!$C$7:$C$87,3),NA())</x:f>
        <x:v>0</x:v>
      </x:c>
      <x:c r="G91" s="34" t="n">
        <x:f>AVERAGE(D91:F91)</x:f>
        <x:v>0</x:v>
      </x:c>
      <x:c r="H91" s="34" t="n">
        <x:f>MIN(D91:F91)</x:f>
        <x:v>0</x:v>
      </x:c>
      <x:c r="I91" s="34" t="n">
        <x:f>MAX(D91:F91)</x:f>
        <x:v>0</x:v>
      </x:c>
    </x:row>
    <x:row r="92" ht="30" customHeight="1">
      <x:c r="A92" s="2" t="str">
        <x:v>priority_quiet</x:v>
      </x:c>
      <x:c r="B92" s="18" t="str">
        <x:v>Pinned
quiet</x:v>
      </x:c>
      <x:c r="C92" s="11" t="n">
        <x:f>COUNTIFS('Runs'!$A$7:$A$87,"primary",'Runs'!$B$7:$B$87,$A92)</x:f>
        <x:v>3</x:v>
      </x:c>
      <x:c r="D92" s="34" t="n">
        <x:f>IF(COUNTIFS('Runs'!$A$7:$A$87,"primary",'Runs'!$B$7:$B$87,$A92,'Runs'!$C$7:$C$87,1)=1,SUMIFS('Runs'!$I$7:$I$87,'Runs'!$A$7:$A$87,"primary",'Runs'!$B$7:$B$87,$A92,'Runs'!$C$7:$C$87,1),NA())</x:f>
        <x:v>0</x:v>
      </x:c>
      <x:c r="E92" s="34" t="n">
        <x:f>IF(COUNTIFS('Runs'!$A$7:$A$87,"primary",'Runs'!$B$7:$B$87,$A92,'Runs'!$C$7:$C$87,2)=1,SUMIFS('Runs'!$I$7:$I$87,'Runs'!$A$7:$A$87,"primary",'Runs'!$B$7:$B$87,$A92,'Runs'!$C$7:$C$87,2),NA())</x:f>
        <x:v>0</x:v>
      </x:c>
      <x:c r="F92" s="34" t="n">
        <x:f>IF(COUNTIFS('Runs'!$A$7:$A$87,"primary",'Runs'!$B$7:$B$87,$A92,'Runs'!$C$7:$C$87,3)=1,SUMIFS('Runs'!$I$7:$I$87,'Runs'!$A$7:$A$87,"primary",'Runs'!$B$7:$B$87,$A92,'Runs'!$C$7:$C$87,3),NA())</x:f>
        <x:v>0</x:v>
      </x:c>
      <x:c r="G92" s="34" t="n">
        <x:f>AVERAGE(D92:F92)</x:f>
        <x:v>0</x:v>
      </x:c>
      <x:c r="H92" s="34" t="n">
        <x:f>MIN(D92:F92)</x:f>
        <x:v>0</x:v>
      </x:c>
      <x:c r="I92" s="34" t="n">
        <x:f>MAX(D92:F92)</x:f>
        <x:v>0</x:v>
      </x:c>
    </x:row>
    <x:row r="93" ht="30" customHeight="1">
      <x:c r="A93" s="2" t="str">
        <x:v>priority_nice_-10</x:v>
      </x:c>
      <x:c r="B93" s="18" t="str">
        <x:v>Nice
-10</x:v>
      </x:c>
      <x:c r="C93" s="11" t="n">
        <x:f>COUNTIFS('Runs'!$A$7:$A$87,"primary",'Runs'!$B$7:$B$87,$A93)</x:f>
        <x:v>3</x:v>
      </x:c>
      <x:c r="D93" s="34" t="n">
        <x:f>IF(COUNTIFS('Runs'!$A$7:$A$87,"primary",'Runs'!$B$7:$B$87,$A93,'Runs'!$C$7:$C$87,1)=1,SUMIFS('Runs'!$I$7:$I$87,'Runs'!$A$7:$A$87,"primary",'Runs'!$B$7:$B$87,$A93,'Runs'!$C$7:$C$87,1),NA())</x:f>
        <x:v>0</x:v>
      </x:c>
      <x:c r="E93" s="34" t="n">
        <x:f>IF(COUNTIFS('Runs'!$A$7:$A$87,"primary",'Runs'!$B$7:$B$87,$A93,'Runs'!$C$7:$C$87,2)=1,SUMIFS('Runs'!$I$7:$I$87,'Runs'!$A$7:$A$87,"primary",'Runs'!$B$7:$B$87,$A93,'Runs'!$C$7:$C$87,2),NA())</x:f>
        <x:v>0</x:v>
      </x:c>
      <x:c r="F93" s="34" t="n">
        <x:f>IF(COUNTIFS('Runs'!$A$7:$A$87,"primary",'Runs'!$B$7:$B$87,$A93,'Runs'!$C$7:$C$87,3)=1,SUMIFS('Runs'!$I$7:$I$87,'Runs'!$A$7:$A$87,"primary",'Runs'!$B$7:$B$87,$A93,'Runs'!$C$7:$C$87,3),NA())</x:f>
        <x:v>0</x:v>
      </x:c>
      <x:c r="G93" s="34" t="n">
        <x:f>AVERAGE(D93:F93)</x:f>
        <x:v>0</x:v>
      </x:c>
      <x:c r="H93" s="34" t="n">
        <x:f>MIN(D93:F93)</x:f>
        <x:v>0</x:v>
      </x:c>
      <x:c r="I93" s="34" t="n">
        <x:f>MAX(D93:F93)</x:f>
        <x:v>0</x:v>
      </x:c>
    </x:row>
    <x:row r="94" ht="30" customHeight="1">
      <x:c r="A94" s="2" t="str">
        <x:v>priority_nice_0</x:v>
      </x:c>
      <x:c r="B94" s="18" t="str">
        <x:v>Nice
0</x:v>
      </x:c>
      <x:c r="C94" s="11" t="n">
        <x:f>COUNTIFS('Runs'!$A$7:$A$87,"primary",'Runs'!$B$7:$B$87,$A94)</x:f>
        <x:v>3</x:v>
      </x:c>
      <x:c r="D94" s="34" t="n">
        <x:f>IF(COUNTIFS('Runs'!$A$7:$A$87,"primary",'Runs'!$B$7:$B$87,$A94,'Runs'!$C$7:$C$87,1)=1,SUMIFS('Runs'!$I$7:$I$87,'Runs'!$A$7:$A$87,"primary",'Runs'!$B$7:$B$87,$A94,'Runs'!$C$7:$C$87,1),NA())</x:f>
        <x:v>0</x:v>
      </x:c>
      <x:c r="E94" s="34" t="n">
        <x:f>IF(COUNTIFS('Runs'!$A$7:$A$87,"primary",'Runs'!$B$7:$B$87,$A94,'Runs'!$C$7:$C$87,2)=1,SUMIFS('Runs'!$I$7:$I$87,'Runs'!$A$7:$A$87,"primary",'Runs'!$B$7:$B$87,$A94,'Runs'!$C$7:$C$87,2),NA())</x:f>
        <x:v>0</x:v>
      </x:c>
      <x:c r="F94" s="34" t="n">
        <x:f>IF(COUNTIFS('Runs'!$A$7:$A$87,"primary",'Runs'!$B$7:$B$87,$A94,'Runs'!$C$7:$C$87,3)=1,SUMIFS('Runs'!$I$7:$I$87,'Runs'!$A$7:$A$87,"primary",'Runs'!$B$7:$B$87,$A94,'Runs'!$C$7:$C$87,3),NA())</x:f>
        <x:v>0</x:v>
      </x:c>
      <x:c r="G94" s="34" t="n">
        <x:f>AVERAGE(D94:F94)</x:f>
        <x:v>0</x:v>
      </x:c>
      <x:c r="H94" s="34" t="n">
        <x:f>MIN(D94:F94)</x:f>
        <x:v>0</x:v>
      </x:c>
      <x:c r="I94" s="34" t="n">
        <x:f>MAX(D94:F94)</x:f>
        <x:v>0</x:v>
      </x:c>
    </x:row>
    <x:row r="95" ht="30" customHeight="1">
      <x:c r="A95" s="2" t="str">
        <x:v>priority_nice_10</x:v>
      </x:c>
      <x:c r="B95" s="18" t="str">
        <x:v>Nice
+10</x:v>
      </x:c>
      <x:c r="C95" s="11" t="n">
        <x:f>COUNTIFS('Runs'!$A$7:$A$87,"primary",'Runs'!$B$7:$B$87,$A95)</x:f>
        <x:v>3</x:v>
      </x:c>
      <x:c r="D95" s="34" t="n">
        <x:f>IF(COUNTIFS('Runs'!$A$7:$A$87,"primary",'Runs'!$B$7:$B$87,$A95,'Runs'!$C$7:$C$87,1)=1,SUMIFS('Runs'!$I$7:$I$87,'Runs'!$A$7:$A$87,"primary",'Runs'!$B$7:$B$87,$A95,'Runs'!$C$7:$C$87,1),NA())</x:f>
        <x:v>0</x:v>
      </x:c>
      <x:c r="E95" s="34" t="n">
        <x:f>IF(COUNTIFS('Runs'!$A$7:$A$87,"primary",'Runs'!$B$7:$B$87,$A95,'Runs'!$C$7:$C$87,2)=1,SUMIFS('Runs'!$I$7:$I$87,'Runs'!$A$7:$A$87,"primary",'Runs'!$B$7:$B$87,$A95,'Runs'!$C$7:$C$87,2),NA())</x:f>
        <x:v>0</x:v>
      </x:c>
      <x:c r="F95" s="34" t="n">
        <x:f>IF(COUNTIFS('Runs'!$A$7:$A$87,"primary",'Runs'!$B$7:$B$87,$A95,'Runs'!$C$7:$C$87,3)=1,SUMIFS('Runs'!$I$7:$I$87,'Runs'!$A$7:$A$87,"primary",'Runs'!$B$7:$B$87,$A95,'Runs'!$C$7:$C$87,3),NA())</x:f>
        <x:v>0</x:v>
      </x:c>
      <x:c r="G95" s="34" t="n">
        <x:f>AVERAGE(D95:F95)</x:f>
        <x:v>0</x:v>
      </x:c>
      <x:c r="H95" s="34" t="n">
        <x:f>MIN(D95:F95)</x:f>
        <x:v>0</x:v>
      </x:c>
      <x:c r="I95" s="34" t="n">
        <x:f>MAX(D95:F95)</x:f>
        <x:v>0</x:v>
      </x:c>
    </x:row>
    <x:row r="96" ht="30" customHeight="1">
      <x:c r="A96" s="2" t="str">
        <x:v>priority_nice_19</x:v>
      </x:c>
      <x:c r="B96" s="18" t="str">
        <x:v>Nice
+19</x:v>
      </x:c>
      <x:c r="C96" s="11" t="n">
        <x:f>COUNTIFS('Runs'!$A$7:$A$87,"primary",'Runs'!$B$7:$B$87,$A96)</x:f>
        <x:v>3</x:v>
      </x:c>
      <x:c r="D96" s="34" t="n">
        <x:f>IF(COUNTIFS('Runs'!$A$7:$A$87,"primary",'Runs'!$B$7:$B$87,$A96,'Runs'!$C$7:$C$87,1)=1,SUMIFS('Runs'!$I$7:$I$87,'Runs'!$A$7:$A$87,"primary",'Runs'!$B$7:$B$87,$A96,'Runs'!$C$7:$C$87,1),NA())</x:f>
        <x:v>0</x:v>
      </x:c>
      <x:c r="E96" s="34" t="n">
        <x:f>IF(COUNTIFS('Runs'!$A$7:$A$87,"primary",'Runs'!$B$7:$B$87,$A96,'Runs'!$C$7:$C$87,2)=1,SUMIFS('Runs'!$I$7:$I$87,'Runs'!$A$7:$A$87,"primary",'Runs'!$B$7:$B$87,$A96,'Runs'!$C$7:$C$87,2),NA())</x:f>
        <x:v>0</x:v>
      </x:c>
      <x:c r="F96" s="34" t="n">
        <x:f>IF(COUNTIFS('Runs'!$A$7:$A$87,"primary",'Runs'!$B$7:$B$87,$A96,'Runs'!$C$7:$C$87,3)=1,SUMIFS('Runs'!$I$7:$I$87,'Runs'!$A$7:$A$87,"primary",'Runs'!$B$7:$B$87,$A96,'Runs'!$C$7:$C$87,3),NA())</x:f>
        <x:v>0</x:v>
      </x:c>
      <x:c r="G96" s="34" t="n">
        <x:f>AVERAGE(D96:F96)</x:f>
        <x:v>0</x:v>
      </x:c>
      <x:c r="H96" s="34" t="n">
        <x:f>MIN(D96:F96)</x:f>
        <x:v>0</x:v>
      </x:c>
      <x:c r="I96" s="34" t="n">
        <x:f>MAX(D96:F96)</x:f>
        <x:v>0</x:v>
      </x:c>
    </x:row>
    <x:row r="97" ht="23" customHeight="1">
      <x:c r="A97" s="2"/>
      <x:c r="B97" s="2"/>
      <x:c r="C97" s="2"/>
      <x:c r="D97" s="2"/>
      <x:c r="E97" s="2"/>
      <x:c r="F97" s="2"/>
      <x:c r="G97" s="2"/>
      <x:c r="H97" s="2"/>
      <x:c r="I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  <x:c r="I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  <x:c r="I99" s="2"/>
    </x:row>
    <x:row r="100" ht="23" customHeight="1">
      <x:c r="A100" s="17" t="str">
        <x:v>Maximum acquisition gap</x:v>
      </x:c>
      <x:c r="B100" s="17"/>
      <x:c r="C100" s="17"/>
      <x:c r="D100" s="17"/>
      <x:c r="E100" s="17"/>
      <x:c r="F100" s="17"/>
      <x:c r="G100" s="17"/>
      <x:c r="H100" s="17"/>
      <x:c r="I100" s="17"/>
    </x:row>
    <x:row r="101" ht="23" customHeight="1">
      <x:c r="A101" s="2" t="str">
        <x:v>Unit: Maximum acquisition gap (ms).</x:v>
      </x:c>
      <x:c r="B101" s="2"/>
      <x:c r="C101" s="2"/>
      <x:c r="D101" s="2"/>
      <x:c r="E101" s="2"/>
      <x:c r="F101" s="2"/>
      <x:c r="G101" s="2"/>
      <x:c r="H101" s="2"/>
      <x:c r="I101" s="2"/>
    </x:row>
    <x:row r="102" ht="23" customHeight="1">
      <x:c r="A102" s="2"/>
      <x:c r="B102" s="2"/>
      <x:c r="C102" s="2"/>
      <x:c r="D102" s="2"/>
      <x:c r="E102" s="2"/>
      <x:c r="F102" s="2"/>
      <x:c r="G102" s="2"/>
      <x:c r="H102" s="2"/>
      <x:c r="I102" s="2"/>
    </x:row>
    <x:row r="103" ht="35" customHeight="1">
      <x:c r="A103" s="8" t="str">
        <x:v>Condition</x:v>
      </x:c>
      <x:c r="B103" s="8" t="str">
        <x:v>Chart label</x:v>
      </x:c>
      <x:c r="C103" s="8" t="str">
        <x:v>Runs</x:v>
      </x:c>
      <x:c r="D103" s="8" t="str">
        <x:v>Run 1</x:v>
      </x:c>
      <x:c r="E103" s="8" t="str">
        <x:v>Run 2</x:v>
      </x:c>
      <x:c r="F103" s="8" t="str">
        <x:v>Run 3</x:v>
      </x:c>
      <x:c r="G103" s="8" t="str">
        <x:v>Mean</x:v>
      </x:c>
      <x:c r="H103" s="8" t="str">
        <x:v>Minimum</x:v>
      </x:c>
      <x:c r="I103" s="8" t="str">
        <x:v>Maximum</x:v>
      </x:c>
    </x:row>
    <x:row r="104" ht="30" customHeight="1">
      <x:c r="A104" s="2" t="str">
        <x:v>baseline</x:v>
      </x:c>
      <x:c r="B104" s="18" t="str">
        <x:v>Base</x:v>
      </x:c>
      <x:c r="C104" s="11" t="n">
        <x:f>COUNTIFS('Runs'!$A$7:$A$87,"primary",'Runs'!$B$7:$B$87,$A104)</x:f>
        <x:v>3</x:v>
      </x:c>
      <x:c r="D104" s="32" t="n">
        <x:f>IF(COUNTIFS('Runs'!$A$7:$A$87,"primary",'Runs'!$B$7:$B$87,$A104,'Runs'!$C$7:$C$87,1)=1,SUMIFS('Runs'!$J$7:$J$87,'Runs'!$A$7:$A$87,"primary",'Runs'!$B$7:$B$87,$A104,'Runs'!$C$7:$C$87,1),NA())</x:f>
        <x:v>100.046778</x:v>
      </x:c>
      <x:c r="E104" s="32" t="n">
        <x:f>IF(COUNTIFS('Runs'!$A$7:$A$87,"primary",'Runs'!$B$7:$B$87,$A104,'Runs'!$C$7:$C$87,2)=1,SUMIFS('Runs'!$J$7:$J$87,'Runs'!$A$7:$A$87,"primary",'Runs'!$B$7:$B$87,$A104,'Runs'!$C$7:$C$87,2),NA())</x:f>
        <x:v>100.071631</x:v>
      </x:c>
      <x:c r="F104" s="32" t="n">
        <x:f>IF(COUNTIFS('Runs'!$A$7:$A$87,"primary",'Runs'!$B$7:$B$87,$A104,'Runs'!$C$7:$C$87,3)=1,SUMIFS('Runs'!$J$7:$J$87,'Runs'!$A$7:$A$87,"primary",'Runs'!$B$7:$B$87,$A104,'Runs'!$C$7:$C$87,3),NA())</x:f>
        <x:v>100.064664</x:v>
      </x:c>
      <x:c r="G104" s="32" t="n">
        <x:f>AVERAGE(D104:F104)</x:f>
        <x:v>100.06102433333332</x:v>
      </x:c>
      <x:c r="H104" s="32" t="n">
        <x:f>MIN(D104:F104)</x:f>
        <x:v>100.046778</x:v>
      </x:c>
      <x:c r="I104" s="32" t="n">
        <x:f>MAX(D104:F104)</x:f>
        <x:v>100.071631</x:v>
      </x:c>
    </x:row>
    <x:row r="105" ht="30" customHeight="1">
      <x:c r="A105" s="2" t="str">
        <x:v>cores_3</x:v>
      </x:c>
      <x:c r="B105" s="18" t="str">
        <x:v>Cores
3</x:v>
      </x:c>
      <x:c r="C105" s="11" t="n">
        <x:f>COUNTIFS('Runs'!$A$7:$A$87,"primary",'Runs'!$B$7:$B$87,$A105)</x:f>
        <x:v>3</x:v>
      </x:c>
      <x:c r="D105" s="32" t="n">
        <x:f>IF(COUNTIFS('Runs'!$A$7:$A$87,"primary",'Runs'!$B$7:$B$87,$A105,'Runs'!$C$7:$C$87,1)=1,SUMIFS('Runs'!$J$7:$J$87,'Runs'!$A$7:$A$87,"primary",'Runs'!$B$7:$B$87,$A105,'Runs'!$C$7:$C$87,1),NA())</x:f>
        <x:v>100.032046</x:v>
      </x:c>
      <x:c r="E105" s="32" t="n">
        <x:f>IF(COUNTIFS('Runs'!$A$7:$A$87,"primary",'Runs'!$B$7:$B$87,$A105,'Runs'!$C$7:$C$87,2)=1,SUMIFS('Runs'!$J$7:$J$87,'Runs'!$A$7:$A$87,"primary",'Runs'!$B$7:$B$87,$A105,'Runs'!$C$7:$C$87,2),NA())</x:f>
        <x:v>100.031394</x:v>
      </x:c>
      <x:c r="F105" s="32" t="n">
        <x:f>IF(COUNTIFS('Runs'!$A$7:$A$87,"primary",'Runs'!$B$7:$B$87,$A105,'Runs'!$C$7:$C$87,3)=1,SUMIFS('Runs'!$J$7:$J$87,'Runs'!$A$7:$A$87,"primary",'Runs'!$B$7:$B$87,$A105,'Runs'!$C$7:$C$87,3),NA())</x:f>
        <x:v>100.073249</x:v>
      </x:c>
      <x:c r="G105" s="32" t="n">
        <x:f>AVERAGE(D105:F105)</x:f>
        <x:v>100.04556300000002</x:v>
      </x:c>
      <x:c r="H105" s="32" t="n">
        <x:f>MIN(D105:F105)</x:f>
        <x:v>100.031394</x:v>
      </x:c>
      <x:c r="I105" s="32" t="n">
        <x:f>MAX(D105:F105)</x:f>
        <x:v>100.073249</x:v>
      </x:c>
    </x:row>
    <x:row r="106" ht="30" customHeight="1">
      <x:c r="A106" s="2" t="str">
        <x:v>cores_2</x:v>
      </x:c>
      <x:c r="B106" s="18" t="str">
        <x:v>Cores
2</x:v>
      </x:c>
      <x:c r="C106" s="11" t="n">
        <x:f>COUNTIFS('Runs'!$A$7:$A$87,"primary",'Runs'!$B$7:$B$87,$A106)</x:f>
        <x:v>3</x:v>
      </x:c>
      <x:c r="D106" s="32" t="n">
        <x:f>IF(COUNTIFS('Runs'!$A$7:$A$87,"primary",'Runs'!$B$7:$B$87,$A106,'Runs'!$C$7:$C$87,1)=1,SUMIFS('Runs'!$J$7:$J$87,'Runs'!$A$7:$A$87,"primary",'Runs'!$B$7:$B$87,$A106,'Runs'!$C$7:$C$87,1),NA())</x:f>
        <x:v>100.033387</x:v>
      </x:c>
      <x:c r="E106" s="32" t="n">
        <x:f>IF(COUNTIFS('Runs'!$A$7:$A$87,"primary",'Runs'!$B$7:$B$87,$A106,'Runs'!$C$7:$C$87,2)=1,SUMIFS('Runs'!$J$7:$J$87,'Runs'!$A$7:$A$87,"primary",'Runs'!$B$7:$B$87,$A106,'Runs'!$C$7:$C$87,2),NA())</x:f>
        <x:v>102.702928</x:v>
      </x:c>
      <x:c r="F106" s="32" t="n">
        <x:f>IF(COUNTIFS('Runs'!$A$7:$A$87,"primary",'Runs'!$B$7:$B$87,$A106,'Runs'!$C$7:$C$87,3)=1,SUMIFS('Runs'!$J$7:$J$87,'Runs'!$A$7:$A$87,"primary",'Runs'!$B$7:$B$87,$A106,'Runs'!$C$7:$C$87,3),NA())</x:f>
        <x:v>100.368506</x:v>
      </x:c>
      <x:c r="G106" s="32" t="n">
        <x:f>AVERAGE(D106:F106)</x:f>
        <x:v>101.03494033333334</x:v>
      </x:c>
      <x:c r="H106" s="32" t="n">
        <x:f>MIN(D106:F106)</x:f>
        <x:v>100.033387</x:v>
      </x:c>
      <x:c r="I106" s="32" t="n">
        <x:f>MAX(D106:F106)</x:f>
        <x:v>102.702928</x:v>
      </x:c>
    </x:row>
    <x:row r="107" ht="30" customHeight="1">
      <x:c r="A107" s="2" t="str">
        <x:v>cores_1</x:v>
      </x:c>
      <x:c r="B107" s="18" t="str">
        <x:v>Cores
1</x:v>
      </x:c>
      <x:c r="C107" s="11" t="n">
        <x:f>COUNTIFS('Runs'!$A$7:$A$87,"primary",'Runs'!$B$7:$B$87,$A107)</x:f>
        <x:v>3</x:v>
      </x:c>
      <x:c r="D107" s="32" t="n">
        <x:f>IF(COUNTIFS('Runs'!$A$7:$A$87,"primary",'Runs'!$B$7:$B$87,$A107,'Runs'!$C$7:$C$87,1)=1,SUMIFS('Runs'!$J$7:$J$87,'Runs'!$A$7:$A$87,"primary",'Runs'!$B$7:$B$87,$A107,'Runs'!$C$7:$C$87,1),NA())</x:f>
        <x:v>100.359038</x:v>
      </x:c>
      <x:c r="E107" s="32" t="n">
        <x:f>IF(COUNTIFS('Runs'!$A$7:$A$87,"primary",'Runs'!$B$7:$B$87,$A107,'Runs'!$C$7:$C$87,2)=1,SUMIFS('Runs'!$J$7:$J$87,'Runs'!$A$7:$A$87,"primary",'Runs'!$B$7:$B$87,$A107,'Runs'!$C$7:$C$87,2),NA())</x:f>
        <x:v>100.112216</x:v>
      </x:c>
      <x:c r="F107" s="32" t="n">
        <x:f>IF(COUNTIFS('Runs'!$A$7:$A$87,"primary",'Runs'!$B$7:$B$87,$A107,'Runs'!$C$7:$C$87,3)=1,SUMIFS('Runs'!$J$7:$J$87,'Runs'!$A$7:$A$87,"primary",'Runs'!$B$7:$B$87,$A107,'Runs'!$C$7:$C$87,3),NA())</x:f>
        <x:v>100.196406</x:v>
      </x:c>
      <x:c r="G107" s="32" t="n">
        <x:f>AVERAGE(D107:F107)</x:f>
        <x:v>100.22255333333332</x:v>
      </x:c>
      <x:c r="H107" s="32" t="n">
        <x:f>MIN(D107:F107)</x:f>
        <x:v>100.112216</x:v>
      </x:c>
      <x:c r="I107" s="32" t="n">
        <x:f>MAX(D107:F107)</x:f>
        <x:v>100.359038</x:v>
      </x:c>
    </x:row>
    <x:row r="108" ht="30" customHeight="1">
      <x:c r="A108" s="2" t="str">
        <x:v>governor_powersave</x:v>
      </x:c>
      <x:c r="B108" s="18" t="str">
        <x:v>Gov
power</x:v>
      </x:c>
      <x:c r="C108" s="11" t="n">
        <x:f>COUNTIFS('Runs'!$A$7:$A$87,"primary",'Runs'!$B$7:$B$87,$A108)</x:f>
        <x:v>3</x:v>
      </x:c>
      <x:c r="D108" s="32" t="n">
        <x:f>IF(COUNTIFS('Runs'!$A$7:$A$87,"primary",'Runs'!$B$7:$B$87,$A108,'Runs'!$C$7:$C$87,1)=1,SUMIFS('Runs'!$J$7:$J$87,'Runs'!$A$7:$A$87,"primary",'Runs'!$B$7:$B$87,$A108,'Runs'!$C$7:$C$87,1),NA())</x:f>
        <x:v>100.079701</x:v>
      </x:c>
      <x:c r="E108" s="32" t="n">
        <x:f>IF(COUNTIFS('Runs'!$A$7:$A$87,"primary",'Runs'!$B$7:$B$87,$A108,'Runs'!$C$7:$C$87,2)=1,SUMIFS('Runs'!$J$7:$J$87,'Runs'!$A$7:$A$87,"primary",'Runs'!$B$7:$B$87,$A108,'Runs'!$C$7:$C$87,2),NA())</x:f>
        <x:v>102.496544</x:v>
      </x:c>
      <x:c r="F108" s="32" t="n">
        <x:f>IF(COUNTIFS('Runs'!$A$7:$A$87,"primary",'Runs'!$B$7:$B$87,$A108,'Runs'!$C$7:$C$87,3)=1,SUMIFS('Runs'!$J$7:$J$87,'Runs'!$A$7:$A$87,"primary",'Runs'!$B$7:$B$87,$A108,'Runs'!$C$7:$C$87,3),NA())</x:f>
        <x:v>100.059848</x:v>
      </x:c>
      <x:c r="G108" s="32" t="n">
        <x:f>AVERAGE(D108:F108)</x:f>
        <x:v>100.87869766666667</x:v>
      </x:c>
      <x:c r="H108" s="32" t="n">
        <x:f>MIN(D108:F108)</x:f>
        <x:v>100.059848</x:v>
      </x:c>
      <x:c r="I108" s="32" t="n">
        <x:f>MAX(D108:F108)</x:f>
        <x:v>102.496544</x:v>
      </x:c>
    </x:row>
    <x:row r="109" ht="30" customHeight="1">
      <x:c r="A109" s="2" t="str">
        <x:v>governor_ondemand</x:v>
      </x:c>
      <x:c r="B109" s="18" t="str">
        <x:v>Gov
on-demand</x:v>
      </x:c>
      <x:c r="C109" s="11" t="n">
        <x:f>COUNTIFS('Runs'!$A$7:$A$87,"primary",'Runs'!$B$7:$B$87,$A109)</x:f>
        <x:v>3</x:v>
      </x:c>
      <x:c r="D109" s="32" t="n">
        <x:f>IF(COUNTIFS('Runs'!$A$7:$A$87,"primary",'Runs'!$B$7:$B$87,$A109,'Runs'!$C$7:$C$87,1)=1,SUMIFS('Runs'!$J$7:$J$87,'Runs'!$A$7:$A$87,"primary",'Runs'!$B$7:$B$87,$A109,'Runs'!$C$7:$C$87,1),NA())</x:f>
        <x:v>100.060203</x:v>
      </x:c>
      <x:c r="E109" s="32" t="n">
        <x:f>IF(COUNTIFS('Runs'!$A$7:$A$87,"primary",'Runs'!$B$7:$B$87,$A109,'Runs'!$C$7:$C$87,2)=1,SUMIFS('Runs'!$J$7:$J$87,'Runs'!$A$7:$A$87,"primary",'Runs'!$B$7:$B$87,$A109,'Runs'!$C$7:$C$87,2),NA())</x:f>
        <x:v>100.051121</x:v>
      </x:c>
      <x:c r="F109" s="32" t="n">
        <x:f>IF(COUNTIFS('Runs'!$A$7:$A$87,"primary",'Runs'!$B$7:$B$87,$A109,'Runs'!$C$7:$C$87,3)=1,SUMIFS('Runs'!$J$7:$J$87,'Runs'!$A$7:$A$87,"primary",'Runs'!$B$7:$B$87,$A109,'Runs'!$C$7:$C$87,3),NA())</x:f>
        <x:v>100.054906</x:v>
      </x:c>
      <x:c r="G109" s="32" t="n">
        <x:f>AVERAGE(D109:F109)</x:f>
        <x:v>100.05541</x:v>
      </x:c>
      <x:c r="H109" s="32" t="n">
        <x:f>MIN(D109:F109)</x:f>
        <x:v>100.051121</x:v>
      </x:c>
      <x:c r="I109" s="32" t="n">
        <x:f>MAX(D109:F109)</x:f>
        <x:v>100.060203</x:v>
      </x:c>
    </x:row>
    <x:row r="110" ht="30" customHeight="1">
      <x:c r="A110" s="2" t="str">
        <x:v>ram_4</x:v>
      </x:c>
      <x:c r="B110" s="18" t="str">
        <x:v>RAM
4 GiB</x:v>
      </x:c>
      <x:c r="C110" s="11" t="n">
        <x:f>COUNTIFS('Runs'!$A$7:$A$87,"primary",'Runs'!$B$7:$B$87,$A110)</x:f>
        <x:v>3</x:v>
      </x:c>
      <x:c r="D110" s="32" t="n">
        <x:f>IF(COUNTIFS('Runs'!$A$7:$A$87,"primary",'Runs'!$B$7:$B$87,$A110,'Runs'!$C$7:$C$87,1)=1,SUMIFS('Runs'!$J$7:$J$87,'Runs'!$A$7:$A$87,"primary",'Runs'!$B$7:$B$87,$A110,'Runs'!$C$7:$C$87,1),NA())</x:f>
        <x:v>100.16506</x:v>
      </x:c>
      <x:c r="E110" s="32" t="n">
        <x:f>IF(COUNTIFS('Runs'!$A$7:$A$87,"primary",'Runs'!$B$7:$B$87,$A110,'Runs'!$C$7:$C$87,2)=1,SUMIFS('Runs'!$J$7:$J$87,'Runs'!$A$7:$A$87,"primary",'Runs'!$B$7:$B$87,$A110,'Runs'!$C$7:$C$87,2),NA())</x:f>
        <x:v>103.128378</x:v>
      </x:c>
      <x:c r="F110" s="32" t="n">
        <x:f>IF(COUNTIFS('Runs'!$A$7:$A$87,"primary",'Runs'!$B$7:$B$87,$A110,'Runs'!$C$7:$C$87,3)=1,SUMIFS('Runs'!$J$7:$J$87,'Runs'!$A$7:$A$87,"primary",'Runs'!$B$7:$B$87,$A110,'Runs'!$C$7:$C$87,3),NA())</x:f>
        <x:v>100.066863</x:v>
      </x:c>
      <x:c r="G110" s="32" t="n">
        <x:f>AVERAGE(D110:F110)</x:f>
        <x:v>101.12010033333333</x:v>
      </x:c>
      <x:c r="H110" s="32" t="n">
        <x:f>MIN(D110:F110)</x:f>
        <x:v>100.066863</x:v>
      </x:c>
      <x:c r="I110" s="32" t="n">
        <x:f>MAX(D110:F110)</x:f>
        <x:v>103.128378</x:v>
      </x:c>
    </x:row>
    <x:row r="111" ht="30" customHeight="1">
      <x:c r="A111" s="2" t="str">
        <x:v>ram_2</x:v>
      </x:c>
      <x:c r="B111" s="18" t="str">
        <x:v>RAM
2 GiB</x:v>
      </x:c>
      <x:c r="C111" s="11" t="n">
        <x:f>COUNTIFS('Runs'!$A$7:$A$87,"primary",'Runs'!$B$7:$B$87,$A111)</x:f>
        <x:v>3</x:v>
      </x:c>
      <x:c r="D111" s="32" t="n">
        <x:f>IF(COUNTIFS('Runs'!$A$7:$A$87,"primary",'Runs'!$B$7:$B$87,$A111,'Runs'!$C$7:$C$87,1)=1,SUMIFS('Runs'!$J$7:$J$87,'Runs'!$A$7:$A$87,"primary",'Runs'!$B$7:$B$87,$A111,'Runs'!$C$7:$C$87,1),NA())</x:f>
        <x:v>103.539944</x:v>
      </x:c>
      <x:c r="E111" s="32" t="n">
        <x:f>IF(COUNTIFS('Runs'!$A$7:$A$87,"primary",'Runs'!$B$7:$B$87,$A111,'Runs'!$C$7:$C$87,2)=1,SUMIFS('Runs'!$J$7:$J$87,'Runs'!$A$7:$A$87,"primary",'Runs'!$B$7:$B$87,$A111,'Runs'!$C$7:$C$87,2),NA())</x:f>
        <x:v>100.086671</x:v>
      </x:c>
      <x:c r="F111" s="32" t="n">
        <x:f>IF(COUNTIFS('Runs'!$A$7:$A$87,"primary",'Runs'!$B$7:$B$87,$A111,'Runs'!$C$7:$C$87,3)=1,SUMIFS('Runs'!$J$7:$J$87,'Runs'!$A$7:$A$87,"primary",'Runs'!$B$7:$B$87,$A111,'Runs'!$C$7:$C$87,3),NA())</x:f>
        <x:v>103.221642</x:v>
      </x:c>
      <x:c r="G111" s="32" t="n">
        <x:f>AVERAGE(D111:F111)</x:f>
        <x:v>102.28275233333333</x:v>
      </x:c>
      <x:c r="H111" s="32" t="n">
        <x:f>MIN(D111:F111)</x:f>
        <x:v>100.086671</x:v>
      </x:c>
      <x:c r="I111" s="32" t="n">
        <x:f>MAX(D111:F111)</x:f>
        <x:v>103.539944</x:v>
      </x:c>
    </x:row>
    <x:row r="112" ht="30" customHeight="1">
      <x:c r="A112" s="2" t="str">
        <x:v>ram_1.5</x:v>
      </x:c>
      <x:c r="B112" s="18" t="str">
        <x:v>RAM
1.5 GiB</x:v>
      </x:c>
      <x:c r="C112" s="11" t="n">
        <x:f>COUNTIFS('Runs'!$A$7:$A$87,"primary",'Runs'!$B$7:$B$87,$A112)</x:f>
        <x:v>3</x:v>
      </x:c>
      <x:c r="D112" s="32" t="n">
        <x:f>IF(COUNTIFS('Runs'!$A$7:$A$87,"primary",'Runs'!$B$7:$B$87,$A112,'Runs'!$C$7:$C$87,1)=1,SUMIFS('Runs'!$J$7:$J$87,'Runs'!$A$7:$A$87,"primary",'Runs'!$B$7:$B$87,$A112,'Runs'!$C$7:$C$87,1),NA())</x:f>
        <x:v>444.745896</x:v>
      </x:c>
      <x:c r="E112" s="32" t="n">
        <x:f>IF(COUNTIFS('Runs'!$A$7:$A$87,"primary",'Runs'!$B$7:$B$87,$A112,'Runs'!$C$7:$C$87,2)=1,SUMIFS('Runs'!$J$7:$J$87,'Runs'!$A$7:$A$87,"primary",'Runs'!$B$7:$B$87,$A112,'Runs'!$C$7:$C$87,2),NA())</x:f>
        <x:v>100.567617</x:v>
      </x:c>
      <x:c r="F112" s="32" t="n">
        <x:f>IF(COUNTIFS('Runs'!$A$7:$A$87,"primary",'Runs'!$B$7:$B$87,$A112,'Runs'!$C$7:$C$87,3)=1,SUMIFS('Runs'!$J$7:$J$87,'Runs'!$A$7:$A$87,"primary",'Runs'!$B$7:$B$87,$A112,'Runs'!$C$7:$C$87,3),NA())</x:f>
        <x:v>102.838678</x:v>
      </x:c>
      <x:c r="G112" s="32" t="n">
        <x:f>AVERAGE(D112:F112)</x:f>
        <x:v>216.05073033333335</x:v>
      </x:c>
      <x:c r="H112" s="32" t="n">
        <x:f>MIN(D112:F112)</x:f>
        <x:v>100.567617</x:v>
      </x:c>
      <x:c r="I112" s="32" t="n">
        <x:f>MAX(D112:F112)</x:f>
        <x:v>444.745896</x:v>
      </x:c>
    </x:row>
    <x:row r="113" ht="30" customHeight="1">
      <x:c r="A113" s="2" t="str">
        <x:v>network_rx_10M</x:v>
      </x:c>
      <x:c r="B113" s="18" t="str">
        <x:v>Net
10M</x:v>
      </x:c>
      <x:c r="C113" s="11" t="n">
        <x:f>COUNTIFS('Runs'!$A$7:$A$87,"primary",'Runs'!$B$7:$B$87,$A113)</x:f>
        <x:v>3</x:v>
      </x:c>
      <x:c r="D113" s="32" t="n">
        <x:f>IF(COUNTIFS('Runs'!$A$7:$A$87,"primary",'Runs'!$B$7:$B$87,$A113,'Runs'!$C$7:$C$87,1)=1,SUMIFS('Runs'!$J$7:$J$87,'Runs'!$A$7:$A$87,"primary",'Runs'!$B$7:$B$87,$A113,'Runs'!$C$7:$C$87,1),NA())</x:f>
        <x:v>100.060813</x:v>
      </x:c>
      <x:c r="E113" s="32" t="n">
        <x:f>IF(COUNTIFS('Runs'!$A$7:$A$87,"primary",'Runs'!$B$7:$B$87,$A113,'Runs'!$C$7:$C$87,2)=1,SUMIFS('Runs'!$J$7:$J$87,'Runs'!$A$7:$A$87,"primary",'Runs'!$B$7:$B$87,$A113,'Runs'!$C$7:$C$87,2),NA())</x:f>
        <x:v>100.047874</x:v>
      </x:c>
      <x:c r="F113" s="32" t="n">
        <x:f>IF(COUNTIFS('Runs'!$A$7:$A$87,"primary",'Runs'!$B$7:$B$87,$A113,'Runs'!$C$7:$C$87,3)=1,SUMIFS('Runs'!$J$7:$J$87,'Runs'!$A$7:$A$87,"primary",'Runs'!$B$7:$B$87,$A113,'Runs'!$C$7:$C$87,3),NA())</x:f>
        <x:v>100.035975</x:v>
      </x:c>
      <x:c r="G113" s="32" t="n">
        <x:f>AVERAGE(D113:F113)</x:f>
        <x:v>100.04822066666667</x:v>
      </x:c>
      <x:c r="H113" s="32" t="n">
        <x:f>MIN(D113:F113)</x:f>
        <x:v>100.035975</x:v>
      </x:c>
      <x:c r="I113" s="32" t="n">
        <x:f>MAX(D113:F113)</x:f>
        <x:v>100.060813</x:v>
      </x:c>
    </x:row>
    <x:row r="114" ht="30" customHeight="1">
      <x:c r="A114" s="2" t="str">
        <x:v>network_rx_50M</x:v>
      </x:c>
      <x:c r="B114" s="18" t="str">
        <x:v>Net
50M</x:v>
      </x:c>
      <x:c r="C114" s="11" t="n">
        <x:f>COUNTIFS('Runs'!$A$7:$A$87,"primary",'Runs'!$B$7:$B$87,$A114)</x:f>
        <x:v>3</x:v>
      </x:c>
      <x:c r="D114" s="32" t="n">
        <x:f>IF(COUNTIFS('Runs'!$A$7:$A$87,"primary",'Runs'!$B$7:$B$87,$A114,'Runs'!$C$7:$C$87,1)=1,SUMIFS('Runs'!$J$7:$J$87,'Runs'!$A$7:$A$87,"primary",'Runs'!$B$7:$B$87,$A114,'Runs'!$C$7:$C$87,1),NA())</x:f>
        <x:v>100.068621</x:v>
      </x:c>
      <x:c r="E114" s="32" t="n">
        <x:f>IF(COUNTIFS('Runs'!$A$7:$A$87,"primary",'Runs'!$B$7:$B$87,$A114,'Runs'!$C$7:$C$87,2)=1,SUMIFS('Runs'!$J$7:$J$87,'Runs'!$A$7:$A$87,"primary",'Runs'!$B$7:$B$87,$A114,'Runs'!$C$7:$C$87,2),NA())</x:f>
        <x:v>100.061917</x:v>
      </x:c>
      <x:c r="F114" s="32" t="n">
        <x:f>IF(COUNTIFS('Runs'!$A$7:$A$87,"primary",'Runs'!$B$7:$B$87,$A114,'Runs'!$C$7:$C$87,3)=1,SUMIFS('Runs'!$J$7:$J$87,'Runs'!$A$7:$A$87,"primary",'Runs'!$B$7:$B$87,$A114,'Runs'!$C$7:$C$87,3),NA())</x:f>
        <x:v>100.049856</x:v>
      </x:c>
      <x:c r="G114" s="32" t="n">
        <x:f>AVERAGE(D114:F114)</x:f>
        <x:v>100.06013133333333</x:v>
      </x:c>
      <x:c r="H114" s="32" t="n">
        <x:f>MIN(D114:F114)</x:f>
        <x:v>100.049856</x:v>
      </x:c>
      <x:c r="I114" s="32" t="n">
        <x:f>MAX(D114:F114)</x:f>
        <x:v>100.068621</x:v>
      </x:c>
    </x:row>
    <x:row r="115" ht="30" customHeight="1">
      <x:c r="A115" s="2" t="str">
        <x:v>priority_quiet</x:v>
      </x:c>
      <x:c r="B115" s="18" t="str">
        <x:v>Pinned
quiet</x:v>
      </x:c>
      <x:c r="C115" s="11" t="n">
        <x:f>COUNTIFS('Runs'!$A$7:$A$87,"primary",'Runs'!$B$7:$B$87,$A115)</x:f>
        <x:v>3</x:v>
      </x:c>
      <x:c r="D115" s="32" t="n">
        <x:f>IF(COUNTIFS('Runs'!$A$7:$A$87,"primary",'Runs'!$B$7:$B$87,$A115,'Runs'!$C$7:$C$87,1)=1,SUMIFS('Runs'!$J$7:$J$87,'Runs'!$A$7:$A$87,"primary",'Runs'!$B$7:$B$87,$A115,'Runs'!$C$7:$C$87,1),NA())</x:f>
        <x:v>100.06578</x:v>
      </x:c>
      <x:c r="E115" s="32" t="n">
        <x:f>IF(COUNTIFS('Runs'!$A$7:$A$87,"primary",'Runs'!$B$7:$B$87,$A115,'Runs'!$C$7:$C$87,2)=1,SUMIFS('Runs'!$J$7:$J$87,'Runs'!$A$7:$A$87,"primary",'Runs'!$B$7:$B$87,$A115,'Runs'!$C$7:$C$87,2),NA())</x:f>
        <x:v>100.051955</x:v>
      </x:c>
      <x:c r="F115" s="32" t="n">
        <x:f>IF(COUNTIFS('Runs'!$A$7:$A$87,"primary",'Runs'!$B$7:$B$87,$A115,'Runs'!$C$7:$C$87,3)=1,SUMIFS('Runs'!$J$7:$J$87,'Runs'!$A$7:$A$87,"primary",'Runs'!$B$7:$B$87,$A115,'Runs'!$C$7:$C$87,3),NA())</x:f>
        <x:v>100.072808</x:v>
      </x:c>
      <x:c r="G115" s="32" t="n">
        <x:f>AVERAGE(D115:F115)</x:f>
        <x:v>100.06351433333333</x:v>
      </x:c>
      <x:c r="H115" s="32" t="n">
        <x:f>MIN(D115:F115)</x:f>
        <x:v>100.051955</x:v>
      </x:c>
      <x:c r="I115" s="32" t="n">
        <x:f>MAX(D115:F115)</x:f>
        <x:v>100.072808</x:v>
      </x:c>
    </x:row>
    <x:row r="116" ht="30" customHeight="1">
      <x:c r="A116" s="2" t="str">
        <x:v>priority_nice_-10</x:v>
      </x:c>
      <x:c r="B116" s="18" t="str">
        <x:v>Nice
-10</x:v>
      </x:c>
      <x:c r="C116" s="11" t="n">
        <x:f>COUNTIFS('Runs'!$A$7:$A$87,"primary",'Runs'!$B$7:$B$87,$A116)</x:f>
        <x:v>3</x:v>
      </x:c>
      <x:c r="D116" s="32" t="n">
        <x:f>IF(COUNTIFS('Runs'!$A$7:$A$87,"primary",'Runs'!$B$7:$B$87,$A116,'Runs'!$C$7:$C$87,1)=1,SUMIFS('Runs'!$J$7:$J$87,'Runs'!$A$7:$A$87,"primary",'Runs'!$B$7:$B$87,$A116,'Runs'!$C$7:$C$87,1),NA())</x:f>
        <x:v>102.509144</x:v>
      </x:c>
      <x:c r="E116" s="32" t="n">
        <x:f>IF(COUNTIFS('Runs'!$A$7:$A$87,"primary",'Runs'!$B$7:$B$87,$A116,'Runs'!$C$7:$C$87,2)=1,SUMIFS('Runs'!$J$7:$J$87,'Runs'!$A$7:$A$87,"primary",'Runs'!$B$7:$B$87,$A116,'Runs'!$C$7:$C$87,2),NA())</x:f>
        <x:v>102.496611</x:v>
      </x:c>
      <x:c r="F116" s="32" t="n">
        <x:f>IF(COUNTIFS('Runs'!$A$7:$A$87,"primary",'Runs'!$B$7:$B$87,$A116,'Runs'!$C$7:$C$87,3)=1,SUMIFS('Runs'!$J$7:$J$87,'Runs'!$A$7:$A$87,"primary",'Runs'!$B$7:$B$87,$A116,'Runs'!$C$7:$C$87,3),NA())</x:f>
        <x:v>102.480107</x:v>
      </x:c>
      <x:c r="G116" s="32" t="n">
        <x:f>AVERAGE(D116:F116)</x:f>
        <x:v>102.49528733333334</x:v>
      </x:c>
      <x:c r="H116" s="32" t="n">
        <x:f>MIN(D116:F116)</x:f>
        <x:v>102.480107</x:v>
      </x:c>
      <x:c r="I116" s="32" t="n">
        <x:f>MAX(D116:F116)</x:f>
        <x:v>102.509144</x:v>
      </x:c>
    </x:row>
    <x:row r="117" ht="30" customHeight="1">
      <x:c r="A117" s="2" t="str">
        <x:v>priority_nice_0</x:v>
      </x:c>
      <x:c r="B117" s="18" t="str">
        <x:v>Nice
0</x:v>
      </x:c>
      <x:c r="C117" s="11" t="n">
        <x:f>COUNTIFS('Runs'!$A$7:$A$87,"primary",'Runs'!$B$7:$B$87,$A117)</x:f>
        <x:v>3</x:v>
      </x:c>
      <x:c r="D117" s="32" t="n">
        <x:f>IF(COUNTIFS('Runs'!$A$7:$A$87,"primary",'Runs'!$B$7:$B$87,$A117,'Runs'!$C$7:$C$87,1)=1,SUMIFS('Runs'!$J$7:$J$87,'Runs'!$A$7:$A$87,"primary",'Runs'!$B$7:$B$87,$A117,'Runs'!$C$7:$C$87,1),NA())</x:f>
        <x:v>102.389349</x:v>
      </x:c>
      <x:c r="E117" s="32" t="n">
        <x:f>IF(COUNTIFS('Runs'!$A$7:$A$87,"primary",'Runs'!$B$7:$B$87,$A117,'Runs'!$C$7:$C$87,2)=1,SUMIFS('Runs'!$J$7:$J$87,'Runs'!$A$7:$A$87,"primary",'Runs'!$B$7:$B$87,$A117,'Runs'!$C$7:$C$87,2),NA())</x:f>
        <x:v>102.529553</x:v>
      </x:c>
      <x:c r="F117" s="32" t="n">
        <x:f>IF(COUNTIFS('Runs'!$A$7:$A$87,"primary",'Runs'!$B$7:$B$87,$A117,'Runs'!$C$7:$C$87,3)=1,SUMIFS('Runs'!$J$7:$J$87,'Runs'!$A$7:$A$87,"primary",'Runs'!$B$7:$B$87,$A117,'Runs'!$C$7:$C$87,3),NA())</x:f>
        <x:v>102.42419</x:v>
      </x:c>
      <x:c r="G117" s="32" t="n">
        <x:f>AVERAGE(D117:F117)</x:f>
        <x:v>102.44769733333334</x:v>
      </x:c>
      <x:c r="H117" s="32" t="n">
        <x:f>MIN(D117:F117)</x:f>
        <x:v>102.389349</x:v>
      </x:c>
      <x:c r="I117" s="32" t="n">
        <x:f>MAX(D117:F117)</x:f>
        <x:v>102.529553</x:v>
      </x:c>
    </x:row>
    <x:row r="118" ht="30" customHeight="1">
      <x:c r="A118" s="2" t="str">
        <x:v>priority_nice_10</x:v>
      </x:c>
      <x:c r="B118" s="18" t="str">
        <x:v>Nice
+10</x:v>
      </x:c>
      <x:c r="C118" s="11" t="n">
        <x:f>COUNTIFS('Runs'!$A$7:$A$87,"primary",'Runs'!$B$7:$B$87,$A118)</x:f>
        <x:v>3</x:v>
      </x:c>
      <x:c r="D118" s="32" t="n">
        <x:f>IF(COUNTIFS('Runs'!$A$7:$A$87,"primary",'Runs'!$B$7:$B$87,$A118,'Runs'!$C$7:$C$87,1)=1,SUMIFS('Runs'!$J$7:$J$87,'Runs'!$A$7:$A$87,"primary",'Runs'!$B$7:$B$87,$A118,'Runs'!$C$7:$C$87,1),NA())</x:f>
        <x:v>102.506801</x:v>
      </x:c>
      <x:c r="E118" s="32" t="n">
        <x:f>IF(COUNTIFS('Runs'!$A$7:$A$87,"primary",'Runs'!$B$7:$B$87,$A118,'Runs'!$C$7:$C$87,2)=1,SUMIFS('Runs'!$J$7:$J$87,'Runs'!$A$7:$A$87,"primary",'Runs'!$B$7:$B$87,$A118,'Runs'!$C$7:$C$87,2),NA())</x:f>
        <x:v>103.48382</x:v>
      </x:c>
      <x:c r="F118" s="32" t="n">
        <x:f>IF(COUNTIFS('Runs'!$A$7:$A$87,"primary",'Runs'!$B$7:$B$87,$A118,'Runs'!$C$7:$C$87,3)=1,SUMIFS('Runs'!$J$7:$J$87,'Runs'!$A$7:$A$87,"primary",'Runs'!$B$7:$B$87,$A118,'Runs'!$C$7:$C$87,3),NA())</x:f>
        <x:v>102.536728</x:v>
      </x:c>
      <x:c r="G118" s="32" t="n">
        <x:f>AVERAGE(D118:F118)</x:f>
        <x:v>102.84244966666665</x:v>
      </x:c>
      <x:c r="H118" s="32" t="n">
        <x:f>MIN(D118:F118)</x:f>
        <x:v>102.506801</x:v>
      </x:c>
      <x:c r="I118" s="32" t="n">
        <x:f>MAX(D118:F118)</x:f>
        <x:v>103.48382</x:v>
      </x:c>
    </x:row>
    <x:row r="119" ht="30" customHeight="1">
      <x:c r="A119" s="2" t="str">
        <x:v>priority_nice_19</x:v>
      </x:c>
      <x:c r="B119" s="18" t="str">
        <x:v>Nice
+19</x:v>
      </x:c>
      <x:c r="C119" s="11" t="n">
        <x:f>COUNTIFS('Runs'!$A$7:$A$87,"primary",'Runs'!$B$7:$B$87,$A119)</x:f>
        <x:v>3</x:v>
      </x:c>
      <x:c r="D119" s="32" t="n">
        <x:f>IF(COUNTIFS('Runs'!$A$7:$A$87,"primary",'Runs'!$B$7:$B$87,$A119,'Runs'!$C$7:$C$87,1)=1,SUMIFS('Runs'!$J$7:$J$87,'Runs'!$A$7:$A$87,"primary",'Runs'!$B$7:$B$87,$A119,'Runs'!$C$7:$C$87,1),NA())</x:f>
        <x:v>103.920901</x:v>
      </x:c>
      <x:c r="E119" s="32" t="n">
        <x:f>IF(COUNTIFS('Runs'!$A$7:$A$87,"primary",'Runs'!$B$7:$B$87,$A119,'Runs'!$C$7:$C$87,2)=1,SUMIFS('Runs'!$J$7:$J$87,'Runs'!$A$7:$A$87,"primary",'Runs'!$B$7:$B$87,$A119,'Runs'!$C$7:$C$87,2),NA())</x:f>
        <x:v>103.990136</x:v>
      </x:c>
      <x:c r="F119" s="32" t="n">
        <x:f>IF(COUNTIFS('Runs'!$A$7:$A$87,"primary",'Runs'!$B$7:$B$87,$A119,'Runs'!$C$7:$C$87,3)=1,SUMIFS('Runs'!$J$7:$J$87,'Runs'!$A$7:$A$87,"primary",'Runs'!$B$7:$B$87,$A119,'Runs'!$C$7:$C$87,3),NA())</x:f>
        <x:v>102.504652</x:v>
      </x:c>
      <x:c r="G119" s="32" t="n">
        <x:f>AVERAGE(D119:F119)</x:f>
        <x:v>103.47189633333335</x:v>
      </x:c>
      <x:c r="H119" s="32" t="n">
        <x:f>MIN(D119:F119)</x:f>
        <x:v>102.504652</x:v>
      </x:c>
      <x:c r="I119" s="32" t="n">
        <x:f>MAX(D119:F119)</x:f>
        <x:v>103.990136</x:v>
      </x:c>
    </x:row>
    <x:row r="120" ht="23" customHeight="1">
      <x:c r="A120" s="2"/>
      <x:c r="B120" s="2"/>
      <x:c r="C120" s="2"/>
      <x:c r="D120" s="2"/>
      <x:c r="E120" s="2"/>
      <x:c r="F120" s="2"/>
      <x:c r="G120" s="2"/>
      <x:c r="H120" s="2"/>
      <x:c r="I120" s="2"/>
    </x:row>
    <x:row r="121" ht="23" customHeight="1">
      <x:c r="A121" s="2"/>
      <x:c r="B121" s="2"/>
      <x:c r="C121" s="2"/>
      <x:c r="D121" s="2"/>
      <x:c r="E121" s="2"/>
      <x:c r="F121" s="2"/>
      <x:c r="G121" s="2"/>
      <x:c r="H121" s="2"/>
      <x:c r="I121" s="2"/>
    </x:row>
    <x:row r="122" ht="23" customHeight="1">
      <x:c r="A122" s="2"/>
      <x:c r="B122" s="2"/>
      <x:c r="C122" s="2"/>
      <x:c r="D122" s="2"/>
      <x:c r="E122" s="2"/>
      <x:c r="F122" s="2"/>
      <x:c r="G122" s="2"/>
      <x:c r="H122" s="2"/>
      <x:c r="I122" s="2"/>
    </x:row>
    <x:row r="123" ht="23" customHeight="1">
      <x:c r="A123" s="17" t="str">
        <x:v>Longest consecutive miss sequence</x:v>
      </x:c>
      <x:c r="B123" s="17"/>
      <x:c r="C123" s="17"/>
      <x:c r="D123" s="17"/>
      <x:c r="E123" s="17"/>
      <x:c r="F123" s="17"/>
      <x:c r="G123" s="17"/>
      <x:c r="H123" s="17"/>
      <x:c r="I123" s="17"/>
    </x:row>
    <x:row r="124" ht="23" customHeight="1">
      <x:c r="A124" s="2" t="str">
        <x:v>Unit: Longest sequence (scheduled slots).</x:v>
      </x:c>
      <x:c r="B124" s="2"/>
      <x:c r="C124" s="2"/>
      <x:c r="D124" s="2"/>
      <x:c r="E124" s="2"/>
      <x:c r="F124" s="2"/>
      <x:c r="G124" s="2"/>
      <x:c r="H124" s="2"/>
      <x:c r="I124" s="2"/>
    </x:row>
    <x:row r="125" ht="23" customHeight="1">
      <x:c r="A125" s="2"/>
      <x:c r="B125" s="2"/>
      <x:c r="C125" s="2"/>
      <x:c r="D125" s="2"/>
      <x:c r="E125" s="2"/>
      <x:c r="F125" s="2"/>
      <x:c r="G125" s="2"/>
      <x:c r="H125" s="2"/>
      <x:c r="I125" s="2"/>
    </x:row>
    <x:row r="126" ht="35" customHeight="1">
      <x:c r="A126" s="8" t="str">
        <x:v>Condition</x:v>
      </x:c>
      <x:c r="B126" s="8" t="str">
        <x:v>Chart label</x:v>
      </x:c>
      <x:c r="C126" s="8" t="str">
        <x:v>Runs</x:v>
      </x:c>
      <x:c r="D126" s="8" t="str">
        <x:v>Run 1</x:v>
      </x:c>
      <x:c r="E126" s="8" t="str">
        <x:v>Run 2</x:v>
      </x:c>
      <x:c r="F126" s="8" t="str">
        <x:v>Run 3</x:v>
      </x:c>
      <x:c r="G126" s="8" t="str">
        <x:v>Mean</x:v>
      </x:c>
      <x:c r="H126" s="8" t="str">
        <x:v>Minimum</x:v>
      </x:c>
      <x:c r="I126" s="8" t="str">
        <x:v>Maximum</x:v>
      </x:c>
    </x:row>
    <x:row r="127" ht="30" customHeight="1">
      <x:c r="A127" s="2" t="str">
        <x:v>baseline</x:v>
      </x:c>
      <x:c r="B127" s="18" t="str">
        <x:v>Base</x:v>
      </x:c>
      <x:c r="C127" s="11" t="n">
        <x:f>COUNTIFS('Runs'!$A$7:$A$87,"primary",'Runs'!$B$7:$B$87,$A127)</x:f>
        <x:v>3</x:v>
      </x:c>
      <x:c r="D127" s="34" t="n">
        <x:f>IF(COUNTIFS('Runs'!$A$7:$A$87,"primary",'Runs'!$B$7:$B$87,$A127,'Runs'!$C$7:$C$87,1)=1,SUMIFS('Runs'!$K$7:$K$87,'Runs'!$A$7:$A$87,"primary",'Runs'!$B$7:$B$87,$A127,'Runs'!$C$7:$C$87,1),NA())</x:f>
        <x:v>0</x:v>
      </x:c>
      <x:c r="E127" s="34" t="n">
        <x:f>IF(COUNTIFS('Runs'!$A$7:$A$87,"primary",'Runs'!$B$7:$B$87,$A127,'Runs'!$C$7:$C$87,2)=1,SUMIFS('Runs'!$K$7:$K$87,'Runs'!$A$7:$A$87,"primary",'Runs'!$B$7:$B$87,$A127,'Runs'!$C$7:$C$87,2),NA())</x:f>
        <x:v>0</x:v>
      </x:c>
      <x:c r="F127" s="34" t="n">
        <x:f>IF(COUNTIFS('Runs'!$A$7:$A$87,"primary",'Runs'!$B$7:$B$87,$A127,'Runs'!$C$7:$C$87,3)=1,SUMIFS('Runs'!$K$7:$K$87,'Runs'!$A$7:$A$87,"primary",'Runs'!$B$7:$B$87,$A127,'Runs'!$C$7:$C$87,3),NA())</x:f>
        <x:v>0</x:v>
      </x:c>
      <x:c r="G127" s="34" t="n">
        <x:f>AVERAGE(D127:F127)</x:f>
        <x:v>0</x:v>
      </x:c>
      <x:c r="H127" s="34" t="n">
        <x:f>MIN(D127:F127)</x:f>
        <x:v>0</x:v>
      </x:c>
      <x:c r="I127" s="34" t="n">
        <x:f>MAX(D127:F127)</x:f>
        <x:v>0</x:v>
      </x:c>
    </x:row>
    <x:row r="128" ht="30" customHeight="1">
      <x:c r="A128" s="2" t="str">
        <x:v>cores_3</x:v>
      </x:c>
      <x:c r="B128" s="18" t="str">
        <x:v>Cores
3</x:v>
      </x:c>
      <x:c r="C128" s="11" t="n">
        <x:f>COUNTIFS('Runs'!$A$7:$A$87,"primary",'Runs'!$B$7:$B$87,$A128)</x:f>
        <x:v>3</x:v>
      </x:c>
      <x:c r="D128" s="34" t="n">
        <x:f>IF(COUNTIFS('Runs'!$A$7:$A$87,"primary",'Runs'!$B$7:$B$87,$A128,'Runs'!$C$7:$C$87,1)=1,SUMIFS('Runs'!$K$7:$K$87,'Runs'!$A$7:$A$87,"primary",'Runs'!$B$7:$B$87,$A128,'Runs'!$C$7:$C$87,1),NA())</x:f>
        <x:v>0</x:v>
      </x:c>
      <x:c r="E128" s="34" t="n">
        <x:f>IF(COUNTIFS('Runs'!$A$7:$A$87,"primary",'Runs'!$B$7:$B$87,$A128,'Runs'!$C$7:$C$87,2)=1,SUMIFS('Runs'!$K$7:$K$87,'Runs'!$A$7:$A$87,"primary",'Runs'!$B$7:$B$87,$A128,'Runs'!$C$7:$C$87,2),NA())</x:f>
        <x:v>0</x:v>
      </x:c>
      <x:c r="F128" s="34" t="n">
        <x:f>IF(COUNTIFS('Runs'!$A$7:$A$87,"primary",'Runs'!$B$7:$B$87,$A128,'Runs'!$C$7:$C$87,3)=1,SUMIFS('Runs'!$K$7:$K$87,'Runs'!$A$7:$A$87,"primary",'Runs'!$B$7:$B$87,$A128,'Runs'!$C$7:$C$87,3),NA())</x:f>
        <x:v>0</x:v>
      </x:c>
      <x:c r="G128" s="34" t="n">
        <x:f>AVERAGE(D128:F128)</x:f>
        <x:v>0</x:v>
      </x:c>
      <x:c r="H128" s="34" t="n">
        <x:f>MIN(D128:F128)</x:f>
        <x:v>0</x:v>
      </x:c>
      <x:c r="I128" s="34" t="n">
        <x:f>MAX(D128:F128)</x:f>
        <x:v>0</x:v>
      </x:c>
    </x:row>
    <x:row r="129" ht="30" customHeight="1">
      <x:c r="A129" s="2" t="str">
        <x:v>cores_2</x:v>
      </x:c>
      <x:c r="B129" s="18" t="str">
        <x:v>Cores
2</x:v>
      </x:c>
      <x:c r="C129" s="11" t="n">
        <x:f>COUNTIFS('Runs'!$A$7:$A$87,"primary",'Runs'!$B$7:$B$87,$A129)</x:f>
        <x:v>3</x:v>
      </x:c>
      <x:c r="D129" s="34" t="n">
        <x:f>IF(COUNTIFS('Runs'!$A$7:$A$87,"primary",'Runs'!$B$7:$B$87,$A129,'Runs'!$C$7:$C$87,1)=1,SUMIFS('Runs'!$K$7:$K$87,'Runs'!$A$7:$A$87,"primary",'Runs'!$B$7:$B$87,$A129,'Runs'!$C$7:$C$87,1),NA())</x:f>
        <x:v>0</x:v>
      </x:c>
      <x:c r="E129" s="34" t="n">
        <x:f>IF(COUNTIFS('Runs'!$A$7:$A$87,"primary",'Runs'!$B$7:$B$87,$A129,'Runs'!$C$7:$C$87,2)=1,SUMIFS('Runs'!$K$7:$K$87,'Runs'!$A$7:$A$87,"primary",'Runs'!$B$7:$B$87,$A129,'Runs'!$C$7:$C$87,2),NA())</x:f>
        <x:v>0</x:v>
      </x:c>
      <x:c r="F129" s="34" t="n">
        <x:f>IF(COUNTIFS('Runs'!$A$7:$A$87,"primary",'Runs'!$B$7:$B$87,$A129,'Runs'!$C$7:$C$87,3)=1,SUMIFS('Runs'!$K$7:$K$87,'Runs'!$A$7:$A$87,"primary",'Runs'!$B$7:$B$87,$A129,'Runs'!$C$7:$C$87,3),NA())</x:f>
        <x:v>0</x:v>
      </x:c>
      <x:c r="G129" s="34" t="n">
        <x:f>AVERAGE(D129:F129)</x:f>
        <x:v>0</x:v>
      </x:c>
      <x:c r="H129" s="34" t="n">
        <x:f>MIN(D129:F129)</x:f>
        <x:v>0</x:v>
      </x:c>
      <x:c r="I129" s="34" t="n">
        <x:f>MAX(D129:F129)</x:f>
        <x:v>0</x:v>
      </x:c>
    </x:row>
    <x:row r="130" ht="30" customHeight="1">
      <x:c r="A130" s="2" t="str">
        <x:v>cores_1</x:v>
      </x:c>
      <x:c r="B130" s="18" t="str">
        <x:v>Cores
1</x:v>
      </x:c>
      <x:c r="C130" s="11" t="n">
        <x:f>COUNTIFS('Runs'!$A$7:$A$87,"primary",'Runs'!$B$7:$B$87,$A130)</x:f>
        <x:v>3</x:v>
      </x:c>
      <x:c r="D130" s="34" t="n">
        <x:f>IF(COUNTIFS('Runs'!$A$7:$A$87,"primary",'Runs'!$B$7:$B$87,$A130,'Runs'!$C$7:$C$87,1)=1,SUMIFS('Runs'!$K$7:$K$87,'Runs'!$A$7:$A$87,"primary",'Runs'!$B$7:$B$87,$A130,'Runs'!$C$7:$C$87,1),NA())</x:f>
        <x:v>0</x:v>
      </x:c>
      <x:c r="E130" s="34" t="n">
        <x:f>IF(COUNTIFS('Runs'!$A$7:$A$87,"primary",'Runs'!$B$7:$B$87,$A130,'Runs'!$C$7:$C$87,2)=1,SUMIFS('Runs'!$K$7:$K$87,'Runs'!$A$7:$A$87,"primary",'Runs'!$B$7:$B$87,$A130,'Runs'!$C$7:$C$87,2),NA())</x:f>
        <x:v>0</x:v>
      </x:c>
      <x:c r="F130" s="34" t="n">
        <x:f>IF(COUNTIFS('Runs'!$A$7:$A$87,"primary",'Runs'!$B$7:$B$87,$A130,'Runs'!$C$7:$C$87,3)=1,SUMIFS('Runs'!$K$7:$K$87,'Runs'!$A$7:$A$87,"primary",'Runs'!$B$7:$B$87,$A130,'Runs'!$C$7:$C$87,3),NA())</x:f>
        <x:v>0</x:v>
      </x:c>
      <x:c r="G130" s="34" t="n">
        <x:f>AVERAGE(D130:F130)</x:f>
        <x:v>0</x:v>
      </x:c>
      <x:c r="H130" s="34" t="n">
        <x:f>MIN(D130:F130)</x:f>
        <x:v>0</x:v>
      </x:c>
      <x:c r="I130" s="34" t="n">
        <x:f>MAX(D130:F130)</x:f>
        <x:v>0</x:v>
      </x:c>
    </x:row>
    <x:row r="131" ht="30" customHeight="1">
      <x:c r="A131" s="2" t="str">
        <x:v>governor_powersave</x:v>
      </x:c>
      <x:c r="B131" s="18" t="str">
        <x:v>Gov
power</x:v>
      </x:c>
      <x:c r="C131" s="11" t="n">
        <x:f>COUNTIFS('Runs'!$A$7:$A$87,"primary",'Runs'!$B$7:$B$87,$A131)</x:f>
        <x:v>3</x:v>
      </x:c>
      <x:c r="D131" s="34" t="n">
        <x:f>IF(COUNTIFS('Runs'!$A$7:$A$87,"primary",'Runs'!$B$7:$B$87,$A131,'Runs'!$C$7:$C$87,1)=1,SUMIFS('Runs'!$K$7:$K$87,'Runs'!$A$7:$A$87,"primary",'Runs'!$B$7:$B$87,$A131,'Runs'!$C$7:$C$87,1),NA())</x:f>
        <x:v>0</x:v>
      </x:c>
      <x:c r="E131" s="34" t="n">
        <x:f>IF(COUNTIFS('Runs'!$A$7:$A$87,"primary",'Runs'!$B$7:$B$87,$A131,'Runs'!$C$7:$C$87,2)=1,SUMIFS('Runs'!$K$7:$K$87,'Runs'!$A$7:$A$87,"primary",'Runs'!$B$7:$B$87,$A131,'Runs'!$C$7:$C$87,2),NA())</x:f>
        <x:v>0</x:v>
      </x:c>
      <x:c r="F131" s="34" t="n">
        <x:f>IF(COUNTIFS('Runs'!$A$7:$A$87,"primary",'Runs'!$B$7:$B$87,$A131,'Runs'!$C$7:$C$87,3)=1,SUMIFS('Runs'!$K$7:$K$87,'Runs'!$A$7:$A$87,"primary",'Runs'!$B$7:$B$87,$A131,'Runs'!$C$7:$C$87,3),NA())</x:f>
        <x:v>0</x:v>
      </x:c>
      <x:c r="G131" s="34" t="n">
        <x:f>AVERAGE(D131:F131)</x:f>
        <x:v>0</x:v>
      </x:c>
      <x:c r="H131" s="34" t="n">
        <x:f>MIN(D131:F131)</x:f>
        <x:v>0</x:v>
      </x:c>
      <x:c r="I131" s="34" t="n">
        <x:f>MAX(D131:F131)</x:f>
        <x:v>0</x:v>
      </x:c>
    </x:row>
    <x:row r="132" ht="30" customHeight="1">
      <x:c r="A132" s="2" t="str">
        <x:v>governor_ondemand</x:v>
      </x:c>
      <x:c r="B132" s="18" t="str">
        <x:v>Gov
on-demand</x:v>
      </x:c>
      <x:c r="C132" s="11" t="n">
        <x:f>COUNTIFS('Runs'!$A$7:$A$87,"primary",'Runs'!$B$7:$B$87,$A132)</x:f>
        <x:v>3</x:v>
      </x:c>
      <x:c r="D132" s="34" t="n">
        <x:f>IF(COUNTIFS('Runs'!$A$7:$A$87,"primary",'Runs'!$B$7:$B$87,$A132,'Runs'!$C$7:$C$87,1)=1,SUMIFS('Runs'!$K$7:$K$87,'Runs'!$A$7:$A$87,"primary",'Runs'!$B$7:$B$87,$A132,'Runs'!$C$7:$C$87,1),NA())</x:f>
        <x:v>0</x:v>
      </x:c>
      <x:c r="E132" s="34" t="n">
        <x:f>IF(COUNTIFS('Runs'!$A$7:$A$87,"primary",'Runs'!$B$7:$B$87,$A132,'Runs'!$C$7:$C$87,2)=1,SUMIFS('Runs'!$K$7:$K$87,'Runs'!$A$7:$A$87,"primary",'Runs'!$B$7:$B$87,$A132,'Runs'!$C$7:$C$87,2),NA())</x:f>
        <x:v>0</x:v>
      </x:c>
      <x:c r="F132" s="34" t="n">
        <x:f>IF(COUNTIFS('Runs'!$A$7:$A$87,"primary",'Runs'!$B$7:$B$87,$A132,'Runs'!$C$7:$C$87,3)=1,SUMIFS('Runs'!$K$7:$K$87,'Runs'!$A$7:$A$87,"primary",'Runs'!$B$7:$B$87,$A132,'Runs'!$C$7:$C$87,3),NA())</x:f>
        <x:v>0</x:v>
      </x:c>
      <x:c r="G132" s="34" t="n">
        <x:f>AVERAGE(D132:F132)</x:f>
        <x:v>0</x:v>
      </x:c>
      <x:c r="H132" s="34" t="n">
        <x:f>MIN(D132:F132)</x:f>
        <x:v>0</x:v>
      </x:c>
      <x:c r="I132" s="34" t="n">
        <x:f>MAX(D132:F132)</x:f>
        <x:v>0</x:v>
      </x:c>
    </x:row>
    <x:row r="133" ht="30" customHeight="1">
      <x:c r="A133" s="2" t="str">
        <x:v>ram_4</x:v>
      </x:c>
      <x:c r="B133" s="18" t="str">
        <x:v>RAM
4 GiB</x:v>
      </x:c>
      <x:c r="C133" s="11" t="n">
        <x:f>COUNTIFS('Runs'!$A$7:$A$87,"primary",'Runs'!$B$7:$B$87,$A133)</x:f>
        <x:v>3</x:v>
      </x:c>
      <x:c r="D133" s="34" t="n">
        <x:f>IF(COUNTIFS('Runs'!$A$7:$A$87,"primary",'Runs'!$B$7:$B$87,$A133,'Runs'!$C$7:$C$87,1)=1,SUMIFS('Runs'!$K$7:$K$87,'Runs'!$A$7:$A$87,"primary",'Runs'!$B$7:$B$87,$A133,'Runs'!$C$7:$C$87,1),NA())</x:f>
        <x:v>0</x:v>
      </x:c>
      <x:c r="E133" s="34" t="n">
        <x:f>IF(COUNTIFS('Runs'!$A$7:$A$87,"primary",'Runs'!$B$7:$B$87,$A133,'Runs'!$C$7:$C$87,2)=1,SUMIFS('Runs'!$K$7:$K$87,'Runs'!$A$7:$A$87,"primary",'Runs'!$B$7:$B$87,$A133,'Runs'!$C$7:$C$87,2),NA())</x:f>
        <x:v>0</x:v>
      </x:c>
      <x:c r="F133" s="34" t="n">
        <x:f>IF(COUNTIFS('Runs'!$A$7:$A$87,"primary",'Runs'!$B$7:$B$87,$A133,'Runs'!$C$7:$C$87,3)=1,SUMIFS('Runs'!$K$7:$K$87,'Runs'!$A$7:$A$87,"primary",'Runs'!$B$7:$B$87,$A133,'Runs'!$C$7:$C$87,3),NA())</x:f>
        <x:v>0</x:v>
      </x:c>
      <x:c r="G133" s="34" t="n">
        <x:f>AVERAGE(D133:F133)</x:f>
        <x:v>0</x:v>
      </x:c>
      <x:c r="H133" s="34" t="n">
        <x:f>MIN(D133:F133)</x:f>
        <x:v>0</x:v>
      </x:c>
      <x:c r="I133" s="34" t="n">
        <x:f>MAX(D133:F133)</x:f>
        <x:v>0</x:v>
      </x:c>
    </x:row>
    <x:row r="134" ht="30" customHeight="1">
      <x:c r="A134" s="2" t="str">
        <x:v>ram_2</x:v>
      </x:c>
      <x:c r="B134" s="18" t="str">
        <x:v>RAM
2 GiB</x:v>
      </x:c>
      <x:c r="C134" s="11" t="n">
        <x:f>COUNTIFS('Runs'!$A$7:$A$87,"primary",'Runs'!$B$7:$B$87,$A134)</x:f>
        <x:v>3</x:v>
      </x:c>
      <x:c r="D134" s="34" t="n">
        <x:f>IF(COUNTIFS('Runs'!$A$7:$A$87,"primary",'Runs'!$B$7:$B$87,$A134,'Runs'!$C$7:$C$87,1)=1,SUMIFS('Runs'!$K$7:$K$87,'Runs'!$A$7:$A$87,"primary",'Runs'!$B$7:$B$87,$A134,'Runs'!$C$7:$C$87,1),NA())</x:f>
        <x:v>0</x:v>
      </x:c>
      <x:c r="E134" s="34" t="n">
        <x:f>IF(COUNTIFS('Runs'!$A$7:$A$87,"primary",'Runs'!$B$7:$B$87,$A134,'Runs'!$C$7:$C$87,2)=1,SUMIFS('Runs'!$K$7:$K$87,'Runs'!$A$7:$A$87,"primary",'Runs'!$B$7:$B$87,$A134,'Runs'!$C$7:$C$87,2),NA())</x:f>
        <x:v>0</x:v>
      </x:c>
      <x:c r="F134" s="34" t="n">
        <x:f>IF(COUNTIFS('Runs'!$A$7:$A$87,"primary",'Runs'!$B$7:$B$87,$A134,'Runs'!$C$7:$C$87,3)=1,SUMIFS('Runs'!$K$7:$K$87,'Runs'!$A$7:$A$87,"primary",'Runs'!$B$7:$B$87,$A134,'Runs'!$C$7:$C$87,3),NA())</x:f>
        <x:v>0</x:v>
      </x:c>
      <x:c r="G134" s="34" t="n">
        <x:f>AVERAGE(D134:F134)</x:f>
        <x:v>0</x:v>
      </x:c>
      <x:c r="H134" s="34" t="n">
        <x:f>MIN(D134:F134)</x:f>
        <x:v>0</x:v>
      </x:c>
      <x:c r="I134" s="34" t="n">
        <x:f>MAX(D134:F134)</x:f>
        <x:v>0</x:v>
      </x:c>
    </x:row>
    <x:row r="135" ht="30" customHeight="1">
      <x:c r="A135" s="2" t="str">
        <x:v>ram_1.5</x:v>
      </x:c>
      <x:c r="B135" s="18" t="str">
        <x:v>RAM
1.5 GiB</x:v>
      </x:c>
      <x:c r="C135" s="11" t="n">
        <x:f>COUNTIFS('Runs'!$A$7:$A$87,"primary",'Runs'!$B$7:$B$87,$A135)</x:f>
        <x:v>3</x:v>
      </x:c>
      <x:c r="D135" s="34" t="n">
        <x:f>IF(COUNTIFS('Runs'!$A$7:$A$87,"primary",'Runs'!$B$7:$B$87,$A135,'Runs'!$C$7:$C$87,1)=1,SUMIFS('Runs'!$K$7:$K$87,'Runs'!$A$7:$A$87,"primary",'Runs'!$B$7:$B$87,$A135,'Runs'!$C$7:$C$87,1),NA())</x:f>
        <x:v>4</x:v>
      </x:c>
      <x:c r="E135" s="34" t="n">
        <x:f>IF(COUNTIFS('Runs'!$A$7:$A$87,"primary",'Runs'!$B$7:$B$87,$A135,'Runs'!$C$7:$C$87,2)=1,SUMIFS('Runs'!$K$7:$K$87,'Runs'!$A$7:$A$87,"primary",'Runs'!$B$7:$B$87,$A135,'Runs'!$C$7:$C$87,2),NA())</x:f>
        <x:v>0</x:v>
      </x:c>
      <x:c r="F135" s="34" t="n">
        <x:f>IF(COUNTIFS('Runs'!$A$7:$A$87,"primary",'Runs'!$B$7:$B$87,$A135,'Runs'!$C$7:$C$87,3)=1,SUMIFS('Runs'!$K$7:$K$87,'Runs'!$A$7:$A$87,"primary",'Runs'!$B$7:$B$87,$A135,'Runs'!$C$7:$C$87,3),NA())</x:f>
        <x:v>0</x:v>
      </x:c>
      <x:c r="G135" s="34" t="n">
        <x:f>AVERAGE(D135:F135)</x:f>
        <x:v>1.3333333333333333</x:v>
      </x:c>
      <x:c r="H135" s="34" t="n">
        <x:f>MIN(D135:F135)</x:f>
        <x:v>0</x:v>
      </x:c>
      <x:c r="I135" s="34" t="n">
        <x:f>MAX(D135:F135)</x:f>
        <x:v>4</x:v>
      </x:c>
    </x:row>
    <x:row r="136" ht="30" customHeight="1">
      <x:c r="A136" s="2" t="str">
        <x:v>network_rx_10M</x:v>
      </x:c>
      <x:c r="B136" s="18" t="str">
        <x:v>Net
10M</x:v>
      </x:c>
      <x:c r="C136" s="11" t="n">
        <x:f>COUNTIFS('Runs'!$A$7:$A$87,"primary",'Runs'!$B$7:$B$87,$A136)</x:f>
        <x:v>3</x:v>
      </x:c>
      <x:c r="D136" s="34" t="n">
        <x:f>IF(COUNTIFS('Runs'!$A$7:$A$87,"primary",'Runs'!$B$7:$B$87,$A136,'Runs'!$C$7:$C$87,1)=1,SUMIFS('Runs'!$K$7:$K$87,'Runs'!$A$7:$A$87,"primary",'Runs'!$B$7:$B$87,$A136,'Runs'!$C$7:$C$87,1),NA())</x:f>
        <x:v>0</x:v>
      </x:c>
      <x:c r="E136" s="34" t="n">
        <x:f>IF(COUNTIFS('Runs'!$A$7:$A$87,"primary",'Runs'!$B$7:$B$87,$A136,'Runs'!$C$7:$C$87,2)=1,SUMIFS('Runs'!$K$7:$K$87,'Runs'!$A$7:$A$87,"primary",'Runs'!$B$7:$B$87,$A136,'Runs'!$C$7:$C$87,2),NA())</x:f>
        <x:v>0</x:v>
      </x:c>
      <x:c r="F136" s="34" t="n">
        <x:f>IF(COUNTIFS('Runs'!$A$7:$A$87,"primary",'Runs'!$B$7:$B$87,$A136,'Runs'!$C$7:$C$87,3)=1,SUMIFS('Runs'!$K$7:$K$87,'Runs'!$A$7:$A$87,"primary",'Runs'!$B$7:$B$87,$A136,'Runs'!$C$7:$C$87,3),NA())</x:f>
        <x:v>0</x:v>
      </x:c>
      <x:c r="G136" s="34" t="n">
        <x:f>AVERAGE(D136:F136)</x:f>
        <x:v>0</x:v>
      </x:c>
      <x:c r="H136" s="34" t="n">
        <x:f>MIN(D136:F136)</x:f>
        <x:v>0</x:v>
      </x:c>
      <x:c r="I136" s="34" t="n">
        <x:f>MAX(D136:F136)</x:f>
        <x:v>0</x:v>
      </x:c>
    </x:row>
    <x:row r="137" ht="30" customHeight="1">
      <x:c r="A137" s="2" t="str">
        <x:v>network_rx_50M</x:v>
      </x:c>
      <x:c r="B137" s="18" t="str">
        <x:v>Net
50M</x:v>
      </x:c>
      <x:c r="C137" s="11" t="n">
        <x:f>COUNTIFS('Runs'!$A$7:$A$87,"primary",'Runs'!$B$7:$B$87,$A137)</x:f>
        <x:v>3</x:v>
      </x:c>
      <x:c r="D137" s="34" t="n">
        <x:f>IF(COUNTIFS('Runs'!$A$7:$A$87,"primary",'Runs'!$B$7:$B$87,$A137,'Runs'!$C$7:$C$87,1)=1,SUMIFS('Runs'!$K$7:$K$87,'Runs'!$A$7:$A$87,"primary",'Runs'!$B$7:$B$87,$A137,'Runs'!$C$7:$C$87,1),NA())</x:f>
        <x:v>0</x:v>
      </x:c>
      <x:c r="E137" s="34" t="n">
        <x:f>IF(COUNTIFS('Runs'!$A$7:$A$87,"primary",'Runs'!$B$7:$B$87,$A137,'Runs'!$C$7:$C$87,2)=1,SUMIFS('Runs'!$K$7:$K$87,'Runs'!$A$7:$A$87,"primary",'Runs'!$B$7:$B$87,$A137,'Runs'!$C$7:$C$87,2),NA())</x:f>
        <x:v>0</x:v>
      </x:c>
      <x:c r="F137" s="34" t="n">
        <x:f>IF(COUNTIFS('Runs'!$A$7:$A$87,"primary",'Runs'!$B$7:$B$87,$A137,'Runs'!$C$7:$C$87,3)=1,SUMIFS('Runs'!$K$7:$K$87,'Runs'!$A$7:$A$87,"primary",'Runs'!$B$7:$B$87,$A137,'Runs'!$C$7:$C$87,3),NA())</x:f>
        <x:v>0</x:v>
      </x:c>
      <x:c r="G137" s="34" t="n">
        <x:f>AVERAGE(D137:F137)</x:f>
        <x:v>0</x:v>
      </x:c>
      <x:c r="H137" s="34" t="n">
        <x:f>MIN(D137:F137)</x:f>
        <x:v>0</x:v>
      </x:c>
      <x:c r="I137" s="34" t="n">
        <x:f>MAX(D137:F137)</x:f>
        <x:v>0</x:v>
      </x:c>
    </x:row>
    <x:row r="138" ht="30" customHeight="1">
      <x:c r="A138" s="2" t="str">
        <x:v>priority_quiet</x:v>
      </x:c>
      <x:c r="B138" s="18" t="str">
        <x:v>Pinned
quiet</x:v>
      </x:c>
      <x:c r="C138" s="11" t="n">
        <x:f>COUNTIFS('Runs'!$A$7:$A$87,"primary",'Runs'!$B$7:$B$87,$A138)</x:f>
        <x:v>3</x:v>
      </x:c>
      <x:c r="D138" s="34" t="n">
        <x:f>IF(COUNTIFS('Runs'!$A$7:$A$87,"primary",'Runs'!$B$7:$B$87,$A138,'Runs'!$C$7:$C$87,1)=1,SUMIFS('Runs'!$K$7:$K$87,'Runs'!$A$7:$A$87,"primary",'Runs'!$B$7:$B$87,$A138,'Runs'!$C$7:$C$87,1),NA())</x:f>
        <x:v>0</x:v>
      </x:c>
      <x:c r="E138" s="34" t="n">
        <x:f>IF(COUNTIFS('Runs'!$A$7:$A$87,"primary",'Runs'!$B$7:$B$87,$A138,'Runs'!$C$7:$C$87,2)=1,SUMIFS('Runs'!$K$7:$K$87,'Runs'!$A$7:$A$87,"primary",'Runs'!$B$7:$B$87,$A138,'Runs'!$C$7:$C$87,2),NA())</x:f>
        <x:v>0</x:v>
      </x:c>
      <x:c r="F138" s="34" t="n">
        <x:f>IF(COUNTIFS('Runs'!$A$7:$A$87,"primary",'Runs'!$B$7:$B$87,$A138,'Runs'!$C$7:$C$87,3)=1,SUMIFS('Runs'!$K$7:$K$87,'Runs'!$A$7:$A$87,"primary",'Runs'!$B$7:$B$87,$A138,'Runs'!$C$7:$C$87,3),NA())</x:f>
        <x:v>0</x:v>
      </x:c>
      <x:c r="G138" s="34" t="n">
        <x:f>AVERAGE(D138:F138)</x:f>
        <x:v>0</x:v>
      </x:c>
      <x:c r="H138" s="34" t="n">
        <x:f>MIN(D138:F138)</x:f>
        <x:v>0</x:v>
      </x:c>
      <x:c r="I138" s="34" t="n">
        <x:f>MAX(D138:F138)</x:f>
        <x:v>0</x:v>
      </x:c>
    </x:row>
    <x:row r="139" ht="30" customHeight="1">
      <x:c r="A139" s="2" t="str">
        <x:v>priority_nice_-10</x:v>
      </x:c>
      <x:c r="B139" s="18" t="str">
        <x:v>Nice
-10</x:v>
      </x:c>
      <x:c r="C139" s="11" t="n">
        <x:f>COUNTIFS('Runs'!$A$7:$A$87,"primary",'Runs'!$B$7:$B$87,$A139)</x:f>
        <x:v>3</x:v>
      </x:c>
      <x:c r="D139" s="34" t="n">
        <x:f>IF(COUNTIFS('Runs'!$A$7:$A$87,"primary",'Runs'!$B$7:$B$87,$A139,'Runs'!$C$7:$C$87,1)=1,SUMIFS('Runs'!$K$7:$K$87,'Runs'!$A$7:$A$87,"primary",'Runs'!$B$7:$B$87,$A139,'Runs'!$C$7:$C$87,1),NA())</x:f>
        <x:v>0</x:v>
      </x:c>
      <x:c r="E139" s="34" t="n">
        <x:f>IF(COUNTIFS('Runs'!$A$7:$A$87,"primary",'Runs'!$B$7:$B$87,$A139,'Runs'!$C$7:$C$87,2)=1,SUMIFS('Runs'!$K$7:$K$87,'Runs'!$A$7:$A$87,"primary",'Runs'!$B$7:$B$87,$A139,'Runs'!$C$7:$C$87,2),NA())</x:f>
        <x:v>0</x:v>
      </x:c>
      <x:c r="F139" s="34" t="n">
        <x:f>IF(COUNTIFS('Runs'!$A$7:$A$87,"primary",'Runs'!$B$7:$B$87,$A139,'Runs'!$C$7:$C$87,3)=1,SUMIFS('Runs'!$K$7:$K$87,'Runs'!$A$7:$A$87,"primary",'Runs'!$B$7:$B$87,$A139,'Runs'!$C$7:$C$87,3),NA())</x:f>
        <x:v>0</x:v>
      </x:c>
      <x:c r="G139" s="34" t="n">
        <x:f>AVERAGE(D139:F139)</x:f>
        <x:v>0</x:v>
      </x:c>
      <x:c r="H139" s="34" t="n">
        <x:f>MIN(D139:F139)</x:f>
        <x:v>0</x:v>
      </x:c>
      <x:c r="I139" s="34" t="n">
        <x:f>MAX(D139:F139)</x:f>
        <x:v>0</x:v>
      </x:c>
    </x:row>
    <x:row r="140" ht="30" customHeight="1">
      <x:c r="A140" s="2" t="str">
        <x:v>priority_nice_0</x:v>
      </x:c>
      <x:c r="B140" s="18" t="str">
        <x:v>Nice
0</x:v>
      </x:c>
      <x:c r="C140" s="11" t="n">
        <x:f>COUNTIFS('Runs'!$A$7:$A$87,"primary",'Runs'!$B$7:$B$87,$A140)</x:f>
        <x:v>3</x:v>
      </x:c>
      <x:c r="D140" s="34" t="n">
        <x:f>IF(COUNTIFS('Runs'!$A$7:$A$87,"primary",'Runs'!$B$7:$B$87,$A140,'Runs'!$C$7:$C$87,1)=1,SUMIFS('Runs'!$K$7:$K$87,'Runs'!$A$7:$A$87,"primary",'Runs'!$B$7:$B$87,$A140,'Runs'!$C$7:$C$87,1),NA())</x:f>
        <x:v>0</x:v>
      </x:c>
      <x:c r="E140" s="34" t="n">
        <x:f>IF(COUNTIFS('Runs'!$A$7:$A$87,"primary",'Runs'!$B$7:$B$87,$A140,'Runs'!$C$7:$C$87,2)=1,SUMIFS('Runs'!$K$7:$K$87,'Runs'!$A$7:$A$87,"primary",'Runs'!$B$7:$B$87,$A140,'Runs'!$C$7:$C$87,2),NA())</x:f>
        <x:v>0</x:v>
      </x:c>
      <x:c r="F140" s="34" t="n">
        <x:f>IF(COUNTIFS('Runs'!$A$7:$A$87,"primary",'Runs'!$B$7:$B$87,$A140,'Runs'!$C$7:$C$87,3)=1,SUMIFS('Runs'!$K$7:$K$87,'Runs'!$A$7:$A$87,"primary",'Runs'!$B$7:$B$87,$A140,'Runs'!$C$7:$C$87,3),NA())</x:f>
        <x:v>0</x:v>
      </x:c>
      <x:c r="G140" s="34" t="n">
        <x:f>AVERAGE(D140:F140)</x:f>
        <x:v>0</x:v>
      </x:c>
      <x:c r="H140" s="34" t="n">
        <x:f>MIN(D140:F140)</x:f>
        <x:v>0</x:v>
      </x:c>
      <x:c r="I140" s="34" t="n">
        <x:f>MAX(D140:F140)</x:f>
        <x:v>0</x:v>
      </x:c>
    </x:row>
    <x:row r="141" ht="30" customHeight="1">
      <x:c r="A141" s="2" t="str">
        <x:v>priority_nice_10</x:v>
      </x:c>
      <x:c r="B141" s="18" t="str">
        <x:v>Nice
+10</x:v>
      </x:c>
      <x:c r="C141" s="11" t="n">
        <x:f>COUNTIFS('Runs'!$A$7:$A$87,"primary",'Runs'!$B$7:$B$87,$A141)</x:f>
        <x:v>3</x:v>
      </x:c>
      <x:c r="D141" s="34" t="n">
        <x:f>IF(COUNTIFS('Runs'!$A$7:$A$87,"primary",'Runs'!$B$7:$B$87,$A141,'Runs'!$C$7:$C$87,1)=1,SUMIFS('Runs'!$K$7:$K$87,'Runs'!$A$7:$A$87,"primary",'Runs'!$B$7:$B$87,$A141,'Runs'!$C$7:$C$87,1),NA())</x:f>
        <x:v>0</x:v>
      </x:c>
      <x:c r="E141" s="34" t="n">
        <x:f>IF(COUNTIFS('Runs'!$A$7:$A$87,"primary",'Runs'!$B$7:$B$87,$A141,'Runs'!$C$7:$C$87,2)=1,SUMIFS('Runs'!$K$7:$K$87,'Runs'!$A$7:$A$87,"primary",'Runs'!$B$7:$B$87,$A141,'Runs'!$C$7:$C$87,2),NA())</x:f>
        <x:v>0</x:v>
      </x:c>
      <x:c r="F141" s="34" t="n">
        <x:f>IF(COUNTIFS('Runs'!$A$7:$A$87,"primary",'Runs'!$B$7:$B$87,$A141,'Runs'!$C$7:$C$87,3)=1,SUMIFS('Runs'!$K$7:$K$87,'Runs'!$A$7:$A$87,"primary",'Runs'!$B$7:$B$87,$A141,'Runs'!$C$7:$C$87,3),NA())</x:f>
        <x:v>0</x:v>
      </x:c>
      <x:c r="G141" s="34" t="n">
        <x:f>AVERAGE(D141:F141)</x:f>
        <x:v>0</x:v>
      </x:c>
      <x:c r="H141" s="34" t="n">
        <x:f>MIN(D141:F141)</x:f>
        <x:v>0</x:v>
      </x:c>
      <x:c r="I141" s="34" t="n">
        <x:f>MAX(D141:F141)</x:f>
        <x:v>0</x:v>
      </x:c>
    </x:row>
    <x:row r="142" ht="30" customHeight="1">
      <x:c r="A142" s="2" t="str">
        <x:v>priority_nice_19</x:v>
      </x:c>
      <x:c r="B142" s="18" t="str">
        <x:v>Nice
+19</x:v>
      </x:c>
      <x:c r="C142" s="11" t="n">
        <x:f>COUNTIFS('Runs'!$A$7:$A$87,"primary",'Runs'!$B$7:$B$87,$A142)</x:f>
        <x:v>3</x:v>
      </x:c>
      <x:c r="D142" s="34" t="n">
        <x:f>IF(COUNTIFS('Runs'!$A$7:$A$87,"primary",'Runs'!$B$7:$B$87,$A142,'Runs'!$C$7:$C$87,1)=1,SUMIFS('Runs'!$K$7:$K$87,'Runs'!$A$7:$A$87,"primary",'Runs'!$B$7:$B$87,$A142,'Runs'!$C$7:$C$87,1),NA())</x:f>
        <x:v>0</x:v>
      </x:c>
      <x:c r="E142" s="34" t="n">
        <x:f>IF(COUNTIFS('Runs'!$A$7:$A$87,"primary",'Runs'!$B$7:$B$87,$A142,'Runs'!$C$7:$C$87,2)=1,SUMIFS('Runs'!$K$7:$K$87,'Runs'!$A$7:$A$87,"primary",'Runs'!$B$7:$B$87,$A142,'Runs'!$C$7:$C$87,2),NA())</x:f>
        <x:v>0</x:v>
      </x:c>
      <x:c r="F142" s="34" t="n">
        <x:f>IF(COUNTIFS('Runs'!$A$7:$A$87,"primary",'Runs'!$B$7:$B$87,$A142,'Runs'!$C$7:$C$87,3)=1,SUMIFS('Runs'!$K$7:$K$87,'Runs'!$A$7:$A$87,"primary",'Runs'!$B$7:$B$87,$A142,'Runs'!$C$7:$C$87,3),NA())</x:f>
        <x:v>0</x:v>
      </x:c>
      <x:c r="G142" s="34" t="n">
        <x:f>AVERAGE(D142:F142)</x:f>
        <x:v>0</x:v>
      </x:c>
      <x:c r="H142" s="34" t="n">
        <x:f>MIN(D142:F142)</x:f>
        <x:v>0</x:v>
      </x:c>
      <x:c r="I142" s="34" t="n">
        <x:f>MAX(D142:F142)</x:f>
        <x:v>0</x:v>
      </x:c>
    </x:row>
    <x:row r="143" ht="23" customHeight="1">
      <x:c r="A143" s="2"/>
      <x:c r="B143" s="2"/>
      <x:c r="C143" s="2"/>
      <x:c r="D143" s="2"/>
      <x:c r="E143" s="2"/>
      <x:c r="F143" s="2"/>
      <x:c r="G143" s="2"/>
      <x:c r="H143" s="2"/>
      <x:c r="I143" s="2"/>
    </x:row>
    <x:row r="144" ht="23" customHeight="1">
      <x:c r="A144" s="2"/>
      <x:c r="B144" s="2"/>
      <x:c r="C144" s="2"/>
      <x:c r="D144" s="2"/>
      <x:c r="E144" s="2"/>
      <x:c r="F144" s="2"/>
      <x:c r="G144" s="2"/>
      <x:c r="H144" s="2"/>
      <x:c r="I144" s="2"/>
    </x:row>
    <x:row r="145" ht="23" customHeight="1">
      <x:c r="A145" s="2"/>
      <x:c r="B145" s="2"/>
      <x:c r="C145" s="2"/>
      <x:c r="D145" s="2"/>
      <x:c r="E145" s="2"/>
      <x:c r="F145" s="2"/>
      <x:c r="G145" s="2"/>
      <x:c r="H145" s="2"/>
      <x:c r="I145" s="2"/>
    </x:row>
    <x:row r="146" ht="23" customHeight="1">
      <x:c r="A146" s="2" t="str">
        <x:v>Primary set: completed 30-run native-RAM campaign plus six 3-run core/RAM blocks. Earlier interrupted-session runs stay separate.</x:v>
      </x:c>
      <x:c r="B146" s="2"/>
      <x:c r="C146" s="2"/>
      <x:c r="D146" s="2"/>
      <x:c r="E146" s="2"/>
      <x:c r="F146" s="2"/>
      <x:c r="G146" s="2"/>
      <x:c r="H146" s="2"/>
      <x:c r="I146" s="2"/>
    </x:row>
    <x:row r="147" ht="23" customHeight="1">
      <x:c r="A147" s="2"/>
      <x:c r="B147" s="2"/>
      <x:c r="C147" s="2"/>
      <x:c r="D147" s="2"/>
      <x:c r="E147" s="2"/>
      <x:c r="F147" s="2"/>
      <x:c r="G147" s="2"/>
      <x:c r="H147" s="2"/>
      <x:c r="I147" s="2"/>
    </x:row>
    <x:row r="148" ht="23" customHeight="1">
      <x:c r="A148" s="2" t="str">
        <x:v>Primary: 48 completed runs, 16 conditions, three runs each. Earlier valid: 18. Failed attempts: 2. Smoke: 13.</x:v>
      </x:c>
      <x:c r="B148" s="2"/>
      <x:c r="C148" s="2"/>
      <x:c r="D148" s="2"/>
      <x:c r="E148" s="2"/>
      <x:c r="F148" s="2"/>
      <x:c r="G148" s="2"/>
      <x:c r="H148" s="2"/>
      <x:c r="I148" s="2"/>
    </x:row>
    <x:row r="149" ht="23" customHeight="1">
      <x:c r="A149" s="2"/>
      <x:c r="B149" s="2"/>
      <x:c r="C149" s="2"/>
      <x:c r="D149" s="2"/>
      <x:c r="E149" s="2"/>
      <x:c r="F149" s="2"/>
      <x:c r="G149" s="2"/>
      <x:c r="H149" s="2"/>
      <x:c r="I149" s="2"/>
    </x:row>
    <x:row r="150">
      <x:c r="A150" t="str">
        <x:v>Core/RAM blocks used separate boots. Three minutes per condition do not establish a hard timing bound.</x:v>
      </x:c>
    </x:row>
    <x:row r="152">
      <x:c r="A152" t="str">
        <x:v>Compare cores/governors/RAM/network with baseline; compare priority against pinned quiet and matrix nice 0.</x:v>
      </x:c>
    </x:row>
    <x:row r="154">
      <x:c r="A154" t="str">
        <x:v>Input was a fixed 22.5 C CSV. Timing does not establish physical sensor freshness or prediction accuracy.</x:v>
      </x:c>
    </x:row>
    <x:row r="156">
      <x:c r="A156" t="str">
        <x:v>The low-RAM event occurred in one run. The workbook preserves it without asserting a single cause.</x:v>
      </x:c>
    </x:row>
  </x:sheetData>
  <x:conditionalFormatting sqref="A12:I27">
    <x:cfRule type="expression" dxfId="2" priority="1">
      <x:formula>MOD(ROW(),2)=0</x:formula>
    </x:cfRule>
  </x:conditionalFormatting>
  <x:conditionalFormatting sqref="A35:I50">
    <x:cfRule type="expression" dxfId="3" priority="2">
      <x:formula>MOD(ROW(),2)=0</x:formula>
    </x:cfRule>
  </x:conditionalFormatting>
  <x:conditionalFormatting sqref="A58:I73">
    <x:cfRule type="expression" dxfId="4" priority="3">
      <x:formula>MOD(ROW(),2)=0</x:formula>
    </x:cfRule>
  </x:conditionalFormatting>
  <x:conditionalFormatting sqref="A81:I96">
    <x:cfRule type="expression" dxfId="5" priority="4">
      <x:formula>MOD(ROW(),2)=0</x:formula>
    </x:cfRule>
  </x:conditionalFormatting>
  <x:conditionalFormatting sqref="A104:I119">
    <x:cfRule type="expression" dxfId="6" priority="5">
      <x:formula>MOD(ROW(),2)=0</x:formula>
    </x:cfRule>
  </x:conditionalFormatting>
  <x:conditionalFormatting sqref="A127:I142">
    <x:cfRule type="expression" dxfId="7" priority="6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0" hidden="0" customWidth="1"/>
    <x:col min="4" max="4" width="10" hidden="0" customWidth="1"/>
    <x:col min="5" max="5" width="17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22" hidden="0" customWidth="1"/>
    <x:col min="29" max="29" width="67" hidden="0" customWidth="1"/>
    <x:col min="30" max="30" width="70" hidden="0" customWidth="1"/>
    <x:col min="31" max="31" width="70" hidden="0" customWidth="1"/>
    <x:col min="32" max="32" width="60" hidden="0" customWidth="1"/>
    <x:col min="33" max="33" width="60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22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 ht="21" customHeight="1">
      <x:c r="A2" s="3" t="str">
        <x:v>Critter experiment run data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 ht="21" customHeight="1">
      <x:c r="A3" s="2" t="str">
        <x:v>Source: critter-timing-results.tar.gz, recorded on the Raspberry Pi 5. Cohort identifies what is plotted.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 ht="21" customHeight="1">
      <x:c r="A4" s="2" t="str">
        <x:v>Archive SHA256: e8686bc42a36c7cfdd5a4461117469670f8397a71af42c8768a9df531f7551f7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</x:row>
    <x:row r="6" ht="35" customHeight="1">
      <x:c r="A6" s="8" t="str">
        <x:v>Cohort</x:v>
      </x:c>
      <x:c r="B6" s="8" t="str">
        <x:v>Condition</x:v>
      </x:c>
      <x:c r="C6" s="8" t="str">
        <x:v>Run</x:v>
      </x:c>
      <x:c r="D6" s="8" t="str">
        <x:v>Status</x:v>
      </x:c>
      <x:c r="E6" s="8" t="str">
        <x:v>Duration (s)</x:v>
      </x:c>
      <x:c r="F6" s="8" t="str">
        <x:v>Deadline miss rate</x:v>
      </x:c>
      <x:c r="G6" s="8" t="str">
        <x:v>Median response (ms)</x:v>
      </x:c>
      <x:c r="H6" s="8" t="str">
        <x:v>p99 response (ms)</x:v>
      </x:c>
      <x:c r="I6" s="8" t="str">
        <x:v>Max lateness (ms)</x:v>
      </x:c>
      <x:c r="J6" s="8" t="str">
        <x:v>Max acquisition gap (ms)</x:v>
      </x:c>
      <x:c r="K6" s="8" t="str">
        <x:v>Longest miss streak (slots)</x:v>
      </x:c>
      <x:c r="L6" s="8" t="str">
        <x:v>Scheduled slots</x:v>
      </x:c>
      <x:c r="M6" s="8" t="str">
        <x:v>Missed slots</x:v>
      </x:c>
      <x:c r="N6" s="8" t="str">
        <x:v>Skipped slots</x:v>
      </x:c>
      <x:c r="O6" s="8" t="str">
        <x:v>Operation failures</x:v>
      </x:c>
      <x:c r="P6" s="8" t="str">
        <x:v>Input source</x:v>
      </x:c>
      <x:c r="Q6" s="8" t="str">
        <x:v>Schedule</x:v>
      </x:c>
      <x:c r="R6" s="8" t="str">
        <x:v>Period (ms)</x:v>
      </x:c>
      <x:c r="S6" s="8" t="str">
        <x:v>Deadline (ms)</x:v>
      </x:c>
      <x:c r="T6" s="8" t="str">
        <x:v>RAM label</x:v>
      </x:c>
      <x:c r="U6" s="8" t="str">
        <x:v>Online cores</x:v>
      </x:c>
      <x:c r="V6" s="8" t="str">
        <x:v>Governor</x:v>
      </x:c>
      <x:c r="W6" s="8" t="str">
        <x:v>Critter nice</x:v>
      </x:c>
      <x:c r="X6" s="8" t="str">
        <x:v>Pinned to CPU0</x:v>
      </x:c>
      <x:c r="Y6" s="8" t="str">
        <x:v>Matrix competitor</x:v>
      </x:c>
      <x:c r="Z6" s="8" t="str">
        <x:v>Network target (Mbit/s)</x:v>
      </x:c>
      <x:c r="AA6" s="8" t="str">
        <x:v>Core method</x:v>
      </x:c>
      <x:c r="AB6" s="8" t="str">
        <x:v>Started (UTC)</x:v>
      </x:c>
      <x:c r="AC6" s="8" t="str">
        <x:v>Source run</x:v>
      </x:c>
      <x:c r="AD6" s="8" t="str">
        <x:v>Binary SHA256</x:v>
      </x:c>
      <x:c r="AE6" s="8" t="str">
        <x:v>Input SHA256</x:v>
      </x:c>
      <x:c r="AF6" s="8" t="str">
        <x:v>Run error</x:v>
      </x:c>
      <x:c r="AG6" s="8" t="str">
        <x:v>Restoration error</x:v>
      </x:c>
      <x:c r="AH6" s="8" t="str">
        <x:v>p99 start delay (ms)</x:v>
      </x:c>
      <x:c r="AI6" s="8" t="str">
        <x:v>p99 work time (ms)</x:v>
      </x:c>
      <x:c r="AJ6" s="8" t="str">
        <x:v>Process major faults</x:v>
      </x:c>
      <x:c r="AK6" s="8" t="str">
        <x:v>Involuntary switches</x:v>
      </x:c>
      <x:c r="AL6" s="8" t="str">
        <x:v>Peak RSS (KiB)</x:v>
      </x:c>
      <x:c r="AM6" s="8" t="str">
        <x:v>Process minor faults</x:v>
      </x:c>
      <x:c r="AN6" s="8" t="str">
        <x:v>Finished (UTC)</x:v>
      </x:c>
    </x:row>
    <x:row r="7" ht="21" customHeight="1">
      <x:c r="A7" s="2" t="str">
        <x:v>failed</x:v>
      </x:c>
      <x:c r="B7" s="2" t="str">
        <x:v>cores_3</x:v>
      </x:c>
      <x:c r="C7" s="2" t="n">
        <x:v>1</x:v>
      </x:c>
      <x:c r="D7" s="2" t="str">
        <x:v>failed</x:v>
      </x:c>
      <x:c r="E7" s="2" t="n">
        <x:v>60</x:v>
      </x:c>
      <x:c r="F7" s="9"/>
      <x:c r="G7" s="10"/>
      <x:c r="H7" s="10"/>
      <x:c r="I7" s="10"/>
      <x:c r="J7" s="10"/>
      <x:c r="K7" s="11"/>
      <x:c r="L7" s="11"/>
      <x:c r="M7" s="11"/>
      <x:c r="N7" s="11"/>
      <x:c r="O7" s="11"/>
      <x:c r="P7" s="2" t="str">
        <x:v>data</x:v>
      </x:c>
      <x:c r="Q7" s="2" t="str">
        <x:v>periodic</x:v>
      </x:c>
      <x:c r="R7" s="2" t="n">
        <x:v>100</x:v>
      </x:c>
      <x:c r="S7" s="2" t="n">
        <x:v>100</x:v>
      </x:c>
      <x:c r="T7" s="2" t="str">
        <x:v>8</x:v>
      </x:c>
      <x:c r="U7" s="2" t="n">
        <x:v>3</x:v>
      </x:c>
      <x:c r="V7" s="2" t="str">
        <x:v>performance</x:v>
      </x:c>
      <x:c r="W7" s="2" t="n">
        <x:v>0</x:v>
      </x:c>
      <x:c r="X7" s="4" t="b">
        <x:v>0</x:v>
      </x:c>
      <x:c r="Y7" s="4" t="b">
        <x:v>0</x:v>
      </x:c>
      <x:c r="Z7" s="2" t="n">
        <x:v>0</x:v>
      </x:c>
      <x:c r="AA7" s="2"/>
      <x:c r="AB7" s="12" t="d">
        <x:v>2026-10-20T01:53:17.969Z</x:v>
      </x:c>
      <x:c r="AC7" s="2" t="str">
        <x:v>main/20261020T015317_942067Z/001_cores_3_r1</x:v>
      </x:c>
      <x:c r="AD7" s="2" t="str">
        <x:v>f9f42bacce48de3308ed4d9c2c7e3e831bc819de1070ad6e69d756bbc5063f4c</x:v>
      </x:c>
      <x:c r="AE7" s="2" t="str">
        <x:v>fc661864e1c5d20e6f3534da91d3eff58e4e483997c3597816e88133ecd7253f</x:v>
      </x:c>
      <x:c r="AF7" s="2" t="str">
        <x:v>requested governor did not take effect</x:v>
      </x:c>
      <x:c r="AG7" s="2" t="str">
        <x:v>restoration needs attention: [Errno 22] Invalid argument; [Errno 22] Invalid argument</x:v>
      </x:c>
      <x:c r="AH7" s="10"/>
      <x:c r="AI7" s="10"/>
      <x:c r="AJ7" s="2"/>
      <x:c r="AK7" s="2"/>
      <x:c r="AL7" s="2"/>
      <x:c r="AM7" s="2"/>
      <x:c r="AN7" s="12" t="d">
        <x:v>2026-10-20T01:53:33.103Z</x:v>
      </x:c>
    </x:row>
    <x:row r="8" ht="21" customHeight="1">
      <x:c r="A8" s="2" t="str">
        <x:v>earlier_valid</x:v>
      </x:c>
      <x:c r="B8" s="2" t="str">
        <x:v>priority_quiet</x:v>
      </x:c>
      <x:c r="C8" s="2" t="n">
        <x:v>1</x:v>
      </x:c>
      <x:c r="D8" s="2" t="str">
        <x:v>complete</x:v>
      </x:c>
      <x:c r="E8" s="2" t="n">
        <x:v>60</x:v>
      </x:c>
      <x:c r="F8" s="9" t="n">
        <x:v>0</x:v>
      </x:c>
      <x:c r="G8" s="10" t="n">
        <x:v>0.13923249999999998</x:v>
      </x:c>
      <x:c r="H8" s="10" t="n">
        <x:v>0.1637</x:v>
      </x:c>
      <x:c r="I8" s="10" t="n">
        <x:v>0</x:v>
      </x:c>
      <x:c r="J8" s="10" t="n">
        <x:v>100.04395</x:v>
      </x:c>
      <x:c r="K8" s="11" t="n">
        <x:v>0</x:v>
      </x:c>
      <x:c r="L8" s="11" t="n">
        <x:v>600</x:v>
      </x:c>
      <x:c r="M8" s="11" t="n">
        <x:v>0</x:v>
      </x:c>
      <x:c r="N8" s="11" t="n">
        <x:v>0</x:v>
      </x:c>
      <x:c r="O8" s="11" t="n">
        <x:v>0</x:v>
      </x:c>
      <x:c r="P8" s="2" t="str">
        <x:v>data</x:v>
      </x:c>
      <x:c r="Q8" s="2" t="str">
        <x:v>periodic</x:v>
      </x:c>
      <x:c r="R8" s="2" t="n">
        <x:v>100</x:v>
      </x:c>
      <x:c r="S8" s="2" t="n">
        <x:v>100</x:v>
      </x:c>
      <x:c r="T8" s="2" t="str">
        <x:v>8</x:v>
      </x:c>
      <x:c r="U8" s="2" t="n">
        <x:v>4</x:v>
      </x:c>
      <x:c r="V8" s="2" t="str">
        <x:v>performance</x:v>
      </x:c>
      <x:c r="W8" s="2" t="n">
        <x:v>0</x:v>
      </x:c>
      <x:c r="X8" s="4" t="b">
        <x:v>1</x:v>
      </x:c>
      <x:c r="Y8" s="4" t="b">
        <x:v>0</x:v>
      </x:c>
      <x:c r="Z8" s="2" t="n">
        <x:v>0</x:v>
      </x:c>
      <x:c r="AA8" s="2" t="str">
        <x:v>boot</x:v>
      </x:c>
      <x:c r="AB8" s="12" t="d">
        <x:v>2026-10-20T02:23:53.044Z</x:v>
      </x:c>
      <x:c r="AC8" s="2" t="str">
        <x:v>main/20261020T022353_012707Z/001_priority_quiet_r1</x:v>
      </x:c>
      <x:c r="AD8" s="2" t="str">
        <x:v>f9f42bacce48de3308ed4d9c2c7e3e831bc819de1070ad6e69d756bbc5063f4c</x:v>
      </x:c>
      <x:c r="AE8" s="2" t="str">
        <x:v>fc661864e1c5d20e6f3534da91d3eff58e4e483997c3597816e88133ecd7253f</x:v>
      </x:c>
      <x:c r="AF8" s="2"/>
      <x:c r="AG8" s="2"/>
      <x:c r="AH8" s="10" t="n">
        <x:v>0.064173</x:v>
      </x:c>
      <x:c r="AI8" s="10" t="n">
        <x:v>0.100707</x:v>
      </x:c>
      <x:c r="AJ8" s="2" t="n">
        <x:v>0</x:v>
      </x:c>
      <x:c r="AK8" s="2" t="n">
        <x:v>2</x:v>
      </x:c>
      <x:c r="AL8" s="2" t="n">
        <x:v>1600</x:v>
      </x:c>
      <x:c r="AM8" s="2" t="n">
        <x:v>70</x:v>
      </x:c>
      <x:c r="AN8" s="12" t="d">
        <x:v>2026-10-20T02:25:09.126Z</x:v>
      </x:c>
    </x:row>
    <x:row r="9" ht="21" customHeight="1">
      <x:c r="A9" s="2" t="str">
        <x:v>earlier_valid</x:v>
      </x:c>
      <x:c r="B9" s="2" t="str">
        <x:v>priority_nice_19</x:v>
      </x:c>
      <x:c r="C9" s="2" t="n">
        <x:v>1</x:v>
      </x:c>
      <x:c r="D9" s="2" t="str">
        <x:v>complete</x:v>
      </x:c>
      <x:c r="E9" s="2" t="n">
        <x:v>60</x:v>
      </x:c>
      <x:c r="F9" s="9" t="n">
        <x:v>0</x:v>
      </x:c>
      <x:c r="G9" s="10" t="n">
        <x:v>4.056062</x:v>
      </x:c>
      <x:c r="H9" s="10" t="n">
        <x:v>4.126125</x:v>
      </x:c>
      <x:c r="I9" s="10" t="n">
        <x:v>0</x:v>
      </x:c>
      <x:c r="J9" s="10" t="n">
        <x:v>103.987106</x:v>
      </x:c>
      <x:c r="K9" s="11" t="n">
        <x:v>0</x:v>
      </x:c>
      <x:c r="L9" s="11" t="n">
        <x:v>600</x:v>
      </x:c>
      <x:c r="M9" s="11" t="n">
        <x:v>0</x:v>
      </x:c>
      <x:c r="N9" s="11" t="n">
        <x:v>0</x:v>
      </x:c>
      <x:c r="O9" s="11" t="n">
        <x:v>0</x:v>
      </x:c>
      <x:c r="P9" s="2" t="str">
        <x:v>data</x:v>
      </x:c>
      <x:c r="Q9" s="2" t="str">
        <x:v>periodic</x:v>
      </x:c>
      <x:c r="R9" s="2" t="n">
        <x:v>100</x:v>
      </x:c>
      <x:c r="S9" s="2" t="n">
        <x:v>100</x:v>
      </x:c>
      <x:c r="T9" s="2" t="str">
        <x:v>8</x:v>
      </x:c>
      <x:c r="U9" s="2" t="n">
        <x:v>4</x:v>
      </x:c>
      <x:c r="V9" s="2" t="str">
        <x:v>performance</x:v>
      </x:c>
      <x:c r="W9" s="2" t="n">
        <x:v>19</x:v>
      </x:c>
      <x:c r="X9" s="4" t="b">
        <x:v>1</x:v>
      </x:c>
      <x:c r="Y9" s="4" t="b">
        <x:v>1</x:v>
      </x:c>
      <x:c r="Z9" s="2" t="n">
        <x:v>0</x:v>
      </x:c>
      <x:c r="AA9" s="2" t="str">
        <x:v>boot</x:v>
      </x:c>
      <x:c r="AB9" s="12" t="d">
        <x:v>2026-10-20T02:25:09.127Z</x:v>
      </x:c>
      <x:c r="AC9" s="2" t="str">
        <x:v>main/20261020T022353_012707Z/002_priority_nice_19_r1</x:v>
      </x:c>
      <x:c r="AD9" s="2" t="str">
        <x:v>f9f42bacce48de3308ed4d9c2c7e3e831bc819de1070ad6e69d756bbc5063f4c</x:v>
      </x:c>
      <x:c r="AE9" s="2" t="str">
        <x:v>fc661864e1c5d20e6f3534da91d3eff58e4e483997c3597816e88133ecd7253f</x:v>
      </x:c>
      <x:c r="AF9" s="2"/>
      <x:c r="AG9" s="2"/>
      <x:c r="AH9" s="10" t="n">
        <x:v>3.986946</x:v>
      </x:c>
      <x:c r="AI9" s="10" t="n">
        <x:v>0.154674</x:v>
      </x:c>
      <x:c r="AJ9" s="2" t="n">
        <x:v>0</x:v>
      </x:c>
      <x:c r="AK9" s="2" t="n">
        <x:v>20</x:v>
      </x:c>
      <x:c r="AL9" s="2" t="n">
        <x:v>1616</x:v>
      </x:c>
      <x:c r="AM9" s="2" t="n">
        <x:v>70</x:v>
      </x:c>
      <x:c r="AN9" s="12" t="d">
        <x:v>2026-10-20T02:26:25.268Z</x:v>
      </x:c>
    </x:row>
    <x:row r="10" ht="21" customHeight="1">
      <x:c r="A10" s="2" t="str">
        <x:v>earlier_valid</x:v>
      </x:c>
      <x:c r="B10" s="2" t="str">
        <x:v>baseline</x:v>
      </x:c>
      <x:c r="C10" s="2" t="n">
        <x:v>1</x:v>
      </x:c>
      <x:c r="D10" s="2" t="str">
        <x:v>complete</x:v>
      </x:c>
      <x:c r="E10" s="2" t="n">
        <x:v>60</x:v>
      </x:c>
      <x:c r="F10" s="9" t="n">
        <x:v>0</x:v>
      </x:c>
      <x:c r="G10" s="10" t="n">
        <x:v>0.13668550000000002</x:v>
      </x:c>
      <x:c r="H10" s="10" t="n">
        <x:v>0.16158</x:v>
      </x:c>
      <x:c r="I10" s="10" t="n">
        <x:v>0</x:v>
      </x:c>
      <x:c r="J10" s="10" t="n">
        <x:v>100.048576</x:v>
      </x:c>
      <x:c r="K10" s="11" t="n">
        <x:v>0</x:v>
      </x:c>
      <x:c r="L10" s="11" t="n">
        <x:v>600</x:v>
      </x:c>
      <x:c r="M10" s="11" t="n">
        <x:v>0</x:v>
      </x:c>
      <x:c r="N10" s="11" t="n">
        <x:v>0</x:v>
      </x:c>
      <x:c r="O10" s="11" t="n">
        <x:v>0</x:v>
      </x:c>
      <x:c r="P10" s="2" t="str">
        <x:v>data</x:v>
      </x:c>
      <x:c r="Q10" s="2" t="str">
        <x:v>periodic</x:v>
      </x:c>
      <x:c r="R10" s="2" t="n">
        <x:v>100</x:v>
      </x:c>
      <x:c r="S10" s="2" t="n">
        <x:v>100</x:v>
      </x:c>
      <x:c r="T10" s="2" t="str">
        <x:v>8</x:v>
      </x:c>
      <x:c r="U10" s="2" t="n">
        <x:v>4</x:v>
      </x:c>
      <x:c r="V10" s="2" t="str">
        <x:v>performance</x:v>
      </x:c>
      <x:c r="W10" s="2" t="n">
        <x:v>0</x:v>
      </x:c>
      <x:c r="X10" s="4" t="b">
        <x:v>0</x:v>
      </x:c>
      <x:c r="Y10" s="4" t="b">
        <x:v>0</x:v>
      </x:c>
      <x:c r="Z10" s="2" t="n">
        <x:v>0</x:v>
      </x:c>
      <x:c r="AA10" s="2" t="str">
        <x:v>boot</x:v>
      </x:c>
      <x:c r="AB10" s="12" t="d">
        <x:v>2026-10-20T02:26:25.268Z</x:v>
      </x:c>
      <x:c r="AC10" s="2" t="str">
        <x:v>main/20261020T022353_012707Z/003_baseline_r1</x:v>
      </x:c>
      <x:c r="AD10" s="2" t="str">
        <x:v>f9f42bacce48de3308ed4d9c2c7e3e831bc819de1070ad6e69d756bbc5063f4c</x:v>
      </x:c>
      <x:c r="AE10" s="2" t="str">
        <x:v>fc661864e1c5d20e6f3534da91d3eff58e4e483997c3597816e88133ecd7253f</x:v>
      </x:c>
      <x:c r="AF10" s="2"/>
      <x:c r="AG10" s="2"/>
      <x:c r="AH10" s="10" t="n">
        <x:v>0.065009</x:v>
      </x:c>
      <x:c r="AI10" s="10" t="n">
        <x:v>0.097839</x:v>
      </x:c>
      <x:c r="AJ10" s="2" t="n">
        <x:v>0</x:v>
      </x:c>
      <x:c r="AK10" s="2" t="n">
        <x:v>0</x:v>
      </x:c>
      <x:c r="AL10" s="2" t="n">
        <x:v>1088</x:v>
      </x:c>
      <x:c r="AM10" s="2" t="n">
        <x:v>71</x:v>
      </x:c>
      <x:c r="AN10" s="12" t="d">
        <x:v>2026-10-20T02:27:41.355Z</x:v>
      </x:c>
    </x:row>
    <x:row r="11" ht="21" customHeight="1">
      <x:c r="A11" s="2" t="str">
        <x:v>earlier_valid</x:v>
      </x:c>
      <x:c r="B11" s="2" t="str">
        <x:v>priority_nice_10</x:v>
      </x:c>
      <x:c r="C11" s="2" t="n">
        <x:v>1</x:v>
      </x:c>
      <x:c r="D11" s="2" t="str">
        <x:v>complete</x:v>
      </x:c>
      <x:c r="E11" s="2" t="n">
        <x:v>60</x:v>
      </x:c>
      <x:c r="F11" s="9" t="n">
        <x:v>0</x:v>
      </x:c>
      <x:c r="G11" s="10" t="n">
        <x:v>0.1532505</x:v>
      </x:c>
      <x:c r="H11" s="10" t="n">
        <x:v>3.641096</x:v>
      </x:c>
      <x:c r="I11" s="10" t="n">
        <x:v>0</x:v>
      </x:c>
      <x:c r="J11" s="10" t="n">
        <x:v>103.522015</x:v>
      </x:c>
      <x:c r="K11" s="11" t="n">
        <x:v>0</x:v>
      </x:c>
      <x:c r="L11" s="11" t="n">
        <x:v>600</x:v>
      </x:c>
      <x:c r="M11" s="11" t="n">
        <x:v>0</x:v>
      </x:c>
      <x:c r="N11" s="11" t="n">
        <x:v>0</x:v>
      </x:c>
      <x:c r="O11" s="11" t="n">
        <x:v>0</x:v>
      </x:c>
      <x:c r="P11" s="2" t="str">
        <x:v>data</x:v>
      </x:c>
      <x:c r="Q11" s="2" t="str">
        <x:v>periodic</x:v>
      </x:c>
      <x:c r="R11" s="2" t="n">
        <x:v>100</x:v>
      </x:c>
      <x:c r="S11" s="2" t="n">
        <x:v>100</x:v>
      </x:c>
      <x:c r="T11" s="2" t="str">
        <x:v>8</x:v>
      </x:c>
      <x:c r="U11" s="2" t="n">
        <x:v>4</x:v>
      </x:c>
      <x:c r="V11" s="2" t="str">
        <x:v>performance</x:v>
      </x:c>
      <x:c r="W11" s="2" t="n">
        <x:v>10</x:v>
      </x:c>
      <x:c r="X11" s="4" t="b">
        <x:v>1</x:v>
      </x:c>
      <x:c r="Y11" s="4" t="b">
        <x:v>1</x:v>
      </x:c>
      <x:c r="Z11" s="2" t="n">
        <x:v>0</x:v>
      </x:c>
      <x:c r="AA11" s="2" t="str">
        <x:v>boot</x:v>
      </x:c>
      <x:c r="AB11" s="12" t="d">
        <x:v>2026-10-20T02:27:41.355Z</x:v>
      </x:c>
      <x:c r="AC11" s="2" t="str">
        <x:v>main/20261020T022353_012707Z/004_priority_nice_10_r1</x:v>
      </x:c>
      <x:c r="AD11" s="2" t="str">
        <x:v>f9f42bacce48de3308ed4d9c2c7e3e831bc819de1070ad6e69d756bbc5063f4c</x:v>
      </x:c>
      <x:c r="AE11" s="2" t="str">
        <x:v>fc661864e1c5d20e6f3534da91d3eff58e4e483997c3597816e88133ecd7253f</x:v>
      </x:c>
      <x:c r="AF11" s="2"/>
      <x:c r="AG11" s="2"/>
      <x:c r="AH11" s="10" t="n">
        <x:v>3.534409</x:v>
      </x:c>
      <x:c r="AI11" s="10" t="n">
        <x:v>0.159009</x:v>
      </x:c>
      <x:c r="AJ11" s="2" t="n">
        <x:v>0</x:v>
      </x:c>
      <x:c r="AK11" s="2" t="n">
        <x:v>9</x:v>
      </x:c>
      <x:c r="AL11" s="2" t="n">
        <x:v>1616</x:v>
      </x:c>
      <x:c r="AM11" s="2" t="n">
        <x:v>71</x:v>
      </x:c>
      <x:c r="AN11" s="12" t="d">
        <x:v>2026-10-20T02:28:57.462Z</x:v>
      </x:c>
    </x:row>
    <x:row r="12" ht="21" customHeight="1">
      <x:c r="A12" s="2" t="str">
        <x:v>earlier_valid</x:v>
      </x:c>
      <x:c r="B12" s="2" t="str">
        <x:v>governor_ondemand</x:v>
      </x:c>
      <x:c r="C12" s="2" t="n">
        <x:v>1</x:v>
      </x:c>
      <x:c r="D12" s="2" t="str">
        <x:v>complete</x:v>
      </x:c>
      <x:c r="E12" s="2" t="n">
        <x:v>60</x:v>
      </x:c>
      <x:c r="F12" s="9" t="n">
        <x:v>0</x:v>
      </x:c>
      <x:c r="G12" s="10" t="n">
        <x:v>0.1740875</x:v>
      </x:c>
      <x:c r="H12" s="10" t="n">
        <x:v>0.219249</x:v>
      </x:c>
      <x:c r="I12" s="10" t="n">
        <x:v>0</x:v>
      </x:c>
      <x:c r="J12" s="10" t="n">
        <x:v>100.051929</x:v>
      </x:c>
      <x:c r="K12" s="11" t="n">
        <x:v>0</x:v>
      </x:c>
      <x:c r="L12" s="11" t="n">
        <x:v>600</x:v>
      </x:c>
      <x:c r="M12" s="11" t="n">
        <x:v>0</x:v>
      </x:c>
      <x:c r="N12" s="11" t="n">
        <x:v>0</x:v>
      </x:c>
      <x:c r="O12" s="11" t="n">
        <x:v>0</x:v>
      </x:c>
      <x:c r="P12" s="2" t="str">
        <x:v>data</x:v>
      </x:c>
      <x:c r="Q12" s="2" t="str">
        <x:v>periodic</x:v>
      </x:c>
      <x:c r="R12" s="2" t="n">
        <x:v>100</x:v>
      </x:c>
      <x:c r="S12" s="2" t="n">
        <x:v>100</x:v>
      </x:c>
      <x:c r="T12" s="2" t="str">
        <x:v>8</x:v>
      </x:c>
      <x:c r="U12" s="2" t="n">
        <x:v>4</x:v>
      </x:c>
      <x:c r="V12" s="2" t="str">
        <x:v>ondemand</x:v>
      </x:c>
      <x:c r="W12" s="2" t="n">
        <x:v>0</x:v>
      </x:c>
      <x:c r="X12" s="4" t="b">
        <x:v>0</x:v>
      </x:c>
      <x:c r="Y12" s="4" t="b">
        <x:v>0</x:v>
      </x:c>
      <x:c r="Z12" s="2" t="n">
        <x:v>0</x:v>
      </x:c>
      <x:c r="AA12" s="2" t="str">
        <x:v>boot</x:v>
      </x:c>
      <x:c r="AB12" s="12" t="d">
        <x:v>2026-10-20T02:28:57.462Z</x:v>
      </x:c>
      <x:c r="AC12" s="2" t="str">
        <x:v>main/20261020T022353_012707Z/005_governor_ondemand_r1</x:v>
      </x:c>
      <x:c r="AD12" s="2" t="str">
        <x:v>f9f42bacce48de3308ed4d9c2c7e3e831bc819de1070ad6e69d756bbc5063f4c</x:v>
      </x:c>
      <x:c r="AE12" s="2" t="str">
        <x:v>fc661864e1c5d20e6f3534da91d3eff58e4e483997c3597816e88133ecd7253f</x:v>
      </x:c>
      <x:c r="AF12" s="2"/>
      <x:c r="AG12" s="2"/>
      <x:c r="AH12" s="10" t="n">
        <x:v>0.084459</x:v>
      </x:c>
      <x:c r="AI12" s="10" t="n">
        <x:v>0.146083</x:v>
      </x:c>
      <x:c r="AJ12" s="2" t="n">
        <x:v>0</x:v>
      </x:c>
      <x:c r="AK12" s="2" t="n">
        <x:v>15</x:v>
      </x:c>
      <x:c r="AL12" s="2" t="n">
        <x:v>1104</x:v>
      </x:c>
      <x:c r="AM12" s="2" t="n">
        <x:v>71</x:v>
      </x:c>
      <x:c r="AN12" s="12" t="d">
        <x:v>2026-10-20T02:30:13.556Z</x:v>
      </x:c>
    </x:row>
    <x:row r="13" ht="21" customHeight="1">
      <x:c r="A13" s="2" t="str">
        <x:v>earlier_valid</x:v>
      </x:c>
      <x:c r="B13" s="2" t="str">
        <x:v>governor_powersave</x:v>
      </x:c>
      <x:c r="C13" s="2" t="n">
        <x:v>1</x:v>
      </x:c>
      <x:c r="D13" s="2" t="str">
        <x:v>complete</x:v>
      </x:c>
      <x:c r="E13" s="2" t="n">
        <x:v>60</x:v>
      </x:c>
      <x:c r="F13" s="9" t="n">
        <x:v>0</x:v>
      </x:c>
      <x:c r="G13" s="10" t="n">
        <x:v>0.164602</x:v>
      </x:c>
      <x:c r="H13" s="10" t="n">
        <x:v>0.195144</x:v>
      </x:c>
      <x:c r="I13" s="10" t="n">
        <x:v>0</x:v>
      </x:c>
      <x:c r="J13" s="10" t="n">
        <x:v>100.066162</x:v>
      </x:c>
      <x:c r="K13" s="11" t="n">
        <x:v>0</x:v>
      </x:c>
      <x:c r="L13" s="11" t="n">
        <x:v>600</x:v>
      </x:c>
      <x:c r="M13" s="11" t="n">
        <x:v>0</x:v>
      </x:c>
      <x:c r="N13" s="11" t="n">
        <x:v>0</x:v>
      </x:c>
      <x:c r="O13" s="11" t="n">
        <x:v>0</x:v>
      </x:c>
      <x:c r="P13" s="2" t="str">
        <x:v>data</x:v>
      </x:c>
      <x:c r="Q13" s="2" t="str">
        <x:v>periodic</x:v>
      </x:c>
      <x:c r="R13" s="2" t="n">
        <x:v>100</x:v>
      </x:c>
      <x:c r="S13" s="2" t="n">
        <x:v>100</x:v>
      </x:c>
      <x:c r="T13" s="2" t="str">
        <x:v>8</x:v>
      </x:c>
      <x:c r="U13" s="2" t="n">
        <x:v>4</x:v>
      </x:c>
      <x:c r="V13" s="2" t="str">
        <x:v>powersave</x:v>
      </x:c>
      <x:c r="W13" s="2" t="n">
        <x:v>0</x:v>
      </x:c>
      <x:c r="X13" s="4" t="b">
        <x:v>0</x:v>
      </x:c>
      <x:c r="Y13" s="4" t="b">
        <x:v>0</x:v>
      </x:c>
      <x:c r="Z13" s="2" t="n">
        <x:v>0</x:v>
      </x:c>
      <x:c r="AA13" s="2" t="str">
        <x:v>boot</x:v>
      </x:c>
      <x:c r="AB13" s="12" t="d">
        <x:v>2026-10-20T02:30:13.557Z</x:v>
      </x:c>
      <x:c r="AC13" s="2" t="str">
        <x:v>main/20261020T022353_012707Z/006_governor_powersave_r1</x:v>
      </x:c>
      <x:c r="AD13" s="2" t="str">
        <x:v>f9f42bacce48de3308ed4d9c2c7e3e831bc819de1070ad6e69d756bbc5063f4c</x:v>
      </x:c>
      <x:c r="AE13" s="2" t="str">
        <x:v>fc661864e1c5d20e6f3534da91d3eff58e4e483997c3597816e88133ecd7253f</x:v>
      </x:c>
      <x:c r="AF13" s="2"/>
      <x:c r="AG13" s="2"/>
      <x:c r="AH13" s="10" t="n">
        <x:v>0.07057</x:v>
      </x:c>
      <x:c r="AI13" s="10" t="n">
        <x:v>0.12586</x:v>
      </x:c>
      <x:c r="AJ13" s="2" t="n">
        <x:v>0</x:v>
      </x:c>
      <x:c r="AK13" s="2" t="n">
        <x:v>0</x:v>
      </x:c>
      <x:c r="AL13" s="2" t="n">
        <x:v>1616</x:v>
      </x:c>
      <x:c r="AM13" s="2" t="n">
        <x:v>70</x:v>
      </x:c>
      <x:c r="AN13" s="12" t="d">
        <x:v>2026-10-20T02:31:29.669Z</x:v>
      </x:c>
    </x:row>
    <x:row r="14" ht="21" customHeight="1">
      <x:c r="A14" s="2" t="str">
        <x:v>earlier_valid</x:v>
      </x:c>
      <x:c r="B14" s="2" t="str">
        <x:v>network_rx_10M</x:v>
      </x:c>
      <x:c r="C14" s="2" t="n">
        <x:v>1</x:v>
      </x:c>
      <x:c r="D14" s="2" t="str">
        <x:v>complete</x:v>
      </x:c>
      <x:c r="E14" s="2" t="n">
        <x:v>60</x:v>
      </x:c>
      <x:c r="F14" s="9" t="n">
        <x:v>0</x:v>
      </x:c>
      <x:c r="G14" s="10" t="n">
        <x:v>0.13924199999999998</x:v>
      </x:c>
      <x:c r="H14" s="10" t="n">
        <x:v>0.159554</x:v>
      </x:c>
      <x:c r="I14" s="10" t="n">
        <x:v>0</x:v>
      </x:c>
      <x:c r="J14" s="10" t="n">
        <x:v>100.053975</x:v>
      </x:c>
      <x:c r="K14" s="11" t="n">
        <x:v>0</x:v>
      </x:c>
      <x:c r="L14" s="11" t="n">
        <x:v>600</x:v>
      </x:c>
      <x:c r="M14" s="11" t="n">
        <x:v>0</x:v>
      </x:c>
      <x:c r="N14" s="11" t="n">
        <x:v>0</x:v>
      </x:c>
      <x:c r="O14" s="11" t="n">
        <x:v>0</x:v>
      </x:c>
      <x:c r="P14" s="2" t="str">
        <x:v>data</x:v>
      </x:c>
      <x:c r="Q14" s="2" t="str">
        <x:v>periodic</x:v>
      </x:c>
      <x:c r="R14" s="2" t="n">
        <x:v>100</x:v>
      </x:c>
      <x:c r="S14" s="2" t="n">
        <x:v>100</x:v>
      </x:c>
      <x:c r="T14" s="2" t="str">
        <x:v>8</x:v>
      </x:c>
      <x:c r="U14" s="2" t="n">
        <x:v>4</x:v>
      </x:c>
      <x:c r="V14" s="2" t="str">
        <x:v>performance</x:v>
      </x:c>
      <x:c r="W14" s="2" t="n">
        <x:v>0</x:v>
      </x:c>
      <x:c r="X14" s="4" t="b">
        <x:v>0</x:v>
      </x:c>
      <x:c r="Y14" s="4" t="b">
        <x:v>0</x:v>
      </x:c>
      <x:c r="Z14" s="2" t="n">
        <x:v>10</x:v>
      </x:c>
      <x:c r="AA14" s="2" t="str">
        <x:v>boot</x:v>
      </x:c>
      <x:c r="AB14" s="12" t="d">
        <x:v>2026-10-20T02:31:29.672Z</x:v>
      </x:c>
      <x:c r="AC14" s="2" t="str">
        <x:v>main/20261020T022353_012707Z/007_network_rx_10M_r1</x:v>
      </x:c>
      <x:c r="AD14" s="2" t="str">
        <x:v>f9f42bacce48de3308ed4d9c2c7e3e831bc819de1070ad6e69d756bbc5063f4c</x:v>
      </x:c>
      <x:c r="AE14" s="2" t="str">
        <x:v>fc661864e1c5d20e6f3534da91d3eff58e4e483997c3597816e88133ecd7253f</x:v>
      </x:c>
      <x:c r="AF14" s="2"/>
      <x:c r="AG14" s="2"/>
      <x:c r="AH14" s="10" t="n">
        <x:v>0.06465</x:v>
      </x:c>
      <x:c r="AI14" s="10" t="n">
        <x:v>0.099006</x:v>
      </x:c>
      <x:c r="AJ14" s="2" t="n">
        <x:v>0</x:v>
      </x:c>
      <x:c r="AK14" s="2" t="n">
        <x:v>4</x:v>
      </x:c>
      <x:c r="AL14" s="2" t="n">
        <x:v>1616</x:v>
      </x:c>
      <x:c r="AM14" s="2" t="n">
        <x:v>71</x:v>
      </x:c>
      <x:c r="AN14" s="12" t="d">
        <x:v>2026-10-20T02:32:54.839Z</x:v>
      </x:c>
    </x:row>
    <x:row r="15" ht="21" customHeight="1">
      <x:c r="A15" s="2" t="str">
        <x:v>earlier_valid</x:v>
      </x:c>
      <x:c r="B15" s="2" t="str">
        <x:v>priority_nice_0</x:v>
      </x:c>
      <x:c r="C15" s="2" t="n">
        <x:v>1</x:v>
      </x:c>
      <x:c r="D15" s="2" t="str">
        <x:v>complete</x:v>
      </x:c>
      <x:c r="E15" s="2" t="n">
        <x:v>60</x:v>
      </x:c>
      <x:c r="F15" s="9" t="n">
        <x:v>0</x:v>
      </x:c>
      <x:c r="G15" s="10" t="n">
        <x:v>0.1521845</x:v>
      </x:c>
      <x:c r="H15" s="10" t="n">
        <x:v>2.672491</x:v>
      </x:c>
      <x:c r="I15" s="10" t="n">
        <x:v>0</x:v>
      </x:c>
      <x:c r="J15" s="10" t="n">
        <x:v>102.528282</x:v>
      </x:c>
      <x:c r="K15" s="11" t="n">
        <x:v>0</x:v>
      </x:c>
      <x:c r="L15" s="11" t="n">
        <x:v>600</x:v>
      </x:c>
      <x:c r="M15" s="11" t="n">
        <x:v>0</x:v>
      </x:c>
      <x:c r="N15" s="11" t="n">
        <x:v>0</x:v>
      </x:c>
      <x:c r="O15" s="11" t="n">
        <x:v>0</x:v>
      </x:c>
      <x:c r="P15" s="2" t="str">
        <x:v>data</x:v>
      </x:c>
      <x:c r="Q15" s="2" t="str">
        <x:v>periodic</x:v>
      </x:c>
      <x:c r="R15" s="2" t="n">
        <x:v>100</x:v>
      </x:c>
      <x:c r="S15" s="2" t="n">
        <x:v>100</x:v>
      </x:c>
      <x:c r="T15" s="2" t="str">
        <x:v>8</x:v>
      </x:c>
      <x:c r="U15" s="2" t="n">
        <x:v>4</x:v>
      </x:c>
      <x:c r="V15" s="2" t="str">
        <x:v>performance</x:v>
      </x:c>
      <x:c r="W15" s="2" t="n">
        <x:v>0</x:v>
      </x:c>
      <x:c r="X15" s="4" t="b">
        <x:v>1</x:v>
      </x:c>
      <x:c r="Y15" s="4" t="b">
        <x:v>1</x:v>
      </x:c>
      <x:c r="Z15" s="2" t="n">
        <x:v>0</x:v>
      </x:c>
      <x:c r="AA15" s="2" t="str">
        <x:v>boot</x:v>
      </x:c>
      <x:c r="AB15" s="12" t="d">
        <x:v>2026-10-20T02:32:54.840Z</x:v>
      </x:c>
      <x:c r="AC15" s="2" t="str">
        <x:v>main/20261020T022353_012707Z/008_priority_nice_0_r1</x:v>
      </x:c>
      <x:c r="AD15" s="2" t="str">
        <x:v>f9f42bacce48de3308ed4d9c2c7e3e831bc819de1070ad6e69d756bbc5063f4c</x:v>
      </x:c>
      <x:c r="AE15" s="2" t="str">
        <x:v>fc661864e1c5d20e6f3534da91d3eff58e4e483997c3597816e88133ecd7253f</x:v>
      </x:c>
      <x:c r="AF15" s="2"/>
      <x:c r="AG15" s="2"/>
      <x:c r="AH15" s="10" t="n">
        <x:v>2.577672</x:v>
      </x:c>
      <x:c r="AI15" s="10" t="n">
        <x:v>0.116823</x:v>
      </x:c>
      <x:c r="AJ15" s="2" t="n">
        <x:v>0</x:v>
      </x:c>
      <x:c r="AK15" s="2" t="n">
        <x:v>5</x:v>
      </x:c>
      <x:c r="AL15" s="2" t="n">
        <x:v>1616</x:v>
      </x:c>
      <x:c r="AM15" s="2" t="n">
        <x:v>72</x:v>
      </x:c>
      <x:c r="AN15" s="12" t="d">
        <x:v>2026-10-20T02:34:10.964Z</x:v>
      </x:c>
    </x:row>
    <x:row r="16" ht="21" customHeight="1">
      <x:c r="A16" s="2" t="str">
        <x:v>earlier_valid</x:v>
      </x:c>
      <x:c r="B16" s="2" t="str">
        <x:v>priority_nice_-10</x:v>
      </x:c>
      <x:c r="C16" s="2" t="n">
        <x:v>1</x:v>
      </x:c>
      <x:c r="D16" s="2" t="str">
        <x:v>complete</x:v>
      </x:c>
      <x:c r="E16" s="2" t="n">
        <x:v>60</x:v>
      </x:c>
      <x:c r="F16" s="9" t="n">
        <x:v>0</x:v>
      </x:c>
      <x:c r="G16" s="10" t="n">
        <x:v>0.1519625</x:v>
      </x:c>
      <x:c r="H16" s="10" t="n">
        <x:v>0.188515</x:v>
      </x:c>
      <x:c r="I16" s="10" t="n">
        <x:v>0</x:v>
      </x:c>
      <x:c r="J16" s="10" t="n">
        <x:v>102.467967</x:v>
      </x:c>
      <x:c r="K16" s="11" t="n">
        <x:v>0</x:v>
      </x:c>
      <x:c r="L16" s="11" t="n">
        <x:v>600</x:v>
      </x:c>
      <x:c r="M16" s="11" t="n">
        <x:v>0</x:v>
      </x:c>
      <x:c r="N16" s="11" t="n">
        <x:v>0</x:v>
      </x:c>
      <x:c r="O16" s="11" t="n">
        <x:v>0</x:v>
      </x:c>
      <x:c r="P16" s="2" t="str">
        <x:v>data</x:v>
      </x:c>
      <x:c r="Q16" s="2" t="str">
        <x:v>periodic</x:v>
      </x:c>
      <x:c r="R16" s="2" t="n">
        <x:v>100</x:v>
      </x:c>
      <x:c r="S16" s="2" t="n">
        <x:v>100</x:v>
      </x:c>
      <x:c r="T16" s="2" t="str">
        <x:v>8</x:v>
      </x:c>
      <x:c r="U16" s="2" t="n">
        <x:v>4</x:v>
      </x:c>
      <x:c r="V16" s="2" t="str">
        <x:v>performance</x:v>
      </x:c>
      <x:c r="W16" s="2" t="n">
        <x:v>-10</x:v>
      </x:c>
      <x:c r="X16" s="4" t="b">
        <x:v>1</x:v>
      </x:c>
      <x:c r="Y16" s="4" t="b">
        <x:v>1</x:v>
      </x:c>
      <x:c r="Z16" s="2" t="n">
        <x:v>0</x:v>
      </x:c>
      <x:c r="AA16" s="2" t="str">
        <x:v>boot</x:v>
      </x:c>
      <x:c r="AB16" s="12" t="d">
        <x:v>2026-10-20T02:34:10.966Z</x:v>
      </x:c>
      <x:c r="AC16" s="2" t="str">
        <x:v>main/20261020T022353_012707Z/009_priority_nice_-10_r1</x:v>
      </x:c>
      <x:c r="AD16" s="2" t="str">
        <x:v>f9f42bacce48de3308ed4d9c2c7e3e831bc819de1070ad6e69d756bbc5063f4c</x:v>
      </x:c>
      <x:c r="AE16" s="2" t="str">
        <x:v>fc661864e1c5d20e6f3534da91d3eff58e4e483997c3597816e88133ecd7253f</x:v>
      </x:c>
      <x:c r="AF16" s="2"/>
      <x:c r="AG16" s="2"/>
      <x:c r="AH16" s="10" t="n">
        <x:v>0.063778</x:v>
      </x:c>
      <x:c r="AI16" s="10" t="n">
        <x:v>0.117286</x:v>
      </x:c>
      <x:c r="AJ16" s="2" t="n">
        <x:v>0</x:v>
      </x:c>
      <x:c r="AK16" s="2" t="n">
        <x:v>5</x:v>
      </x:c>
      <x:c r="AL16" s="2" t="n">
        <x:v>1600</x:v>
      </x:c>
      <x:c r="AM16" s="2" t="n">
        <x:v>71</x:v>
      </x:c>
      <x:c r="AN16" s="12" t="d">
        <x:v>2026-10-20T02:35:27.074Z</x:v>
      </x:c>
    </x:row>
    <x:row r="17" ht="21" customHeight="1">
      <x:c r="A17" s="2" t="str">
        <x:v>earlier_valid</x:v>
      </x:c>
      <x:c r="B17" s="2" t="str">
        <x:v>network_rx_50M</x:v>
      </x:c>
      <x:c r="C17" s="2" t="n">
        <x:v>1</x:v>
      </x:c>
      <x:c r="D17" s="2" t="str">
        <x:v>complete</x:v>
      </x:c>
      <x:c r="E17" s="2" t="n">
        <x:v>60</x:v>
      </x:c>
      <x:c r="F17" s="9" t="n">
        <x:v>0</x:v>
      </x:c>
      <x:c r="G17" s="10" t="n">
        <x:v>0.143056</x:v>
      </x:c>
      <x:c r="H17" s="10" t="n">
        <x:v>0.165796</x:v>
      </x:c>
      <x:c r="I17" s="10" t="n">
        <x:v>0</x:v>
      </x:c>
      <x:c r="J17" s="10" t="n">
        <x:v>100.037166</x:v>
      </x:c>
      <x:c r="K17" s="11" t="n">
        <x:v>0</x:v>
      </x:c>
      <x:c r="L17" s="11" t="n">
        <x:v>600</x:v>
      </x:c>
      <x:c r="M17" s="11" t="n">
        <x:v>0</x:v>
      </x:c>
      <x:c r="N17" s="11" t="n">
        <x:v>0</x:v>
      </x:c>
      <x:c r="O17" s="11" t="n">
        <x:v>0</x:v>
      </x:c>
      <x:c r="P17" s="2" t="str">
        <x:v>data</x:v>
      </x:c>
      <x:c r="Q17" s="2" t="str">
        <x:v>periodic</x:v>
      </x:c>
      <x:c r="R17" s="2" t="n">
        <x:v>100</x:v>
      </x:c>
      <x:c r="S17" s="2" t="n">
        <x:v>100</x:v>
      </x:c>
      <x:c r="T17" s="2" t="str">
        <x:v>8</x:v>
      </x:c>
      <x:c r="U17" s="2" t="n">
        <x:v>4</x:v>
      </x:c>
      <x:c r="V17" s="2" t="str">
        <x:v>performance</x:v>
      </x:c>
      <x:c r="W17" s="2" t="n">
        <x:v>0</x:v>
      </x:c>
      <x:c r="X17" s="4" t="b">
        <x:v>0</x:v>
      </x:c>
      <x:c r="Y17" s="4" t="b">
        <x:v>0</x:v>
      </x:c>
      <x:c r="Z17" s="2" t="n">
        <x:v>50</x:v>
      </x:c>
      <x:c r="AA17" s="2" t="str">
        <x:v>boot</x:v>
      </x:c>
      <x:c r="AB17" s="12" t="d">
        <x:v>2026-10-20T02:35:27.075Z</x:v>
      </x:c>
      <x:c r="AC17" s="2" t="str">
        <x:v>main/20261020T022353_012707Z/010_network_rx_50M_r1</x:v>
      </x:c>
      <x:c r="AD17" s="2" t="str">
        <x:v>f9f42bacce48de3308ed4d9c2c7e3e831bc819de1070ad6e69d756bbc5063f4c</x:v>
      </x:c>
      <x:c r="AE17" s="2" t="str">
        <x:v>fc661864e1c5d20e6f3534da91d3eff58e4e483997c3597816e88133ecd7253f</x:v>
      </x:c>
      <x:c r="AF17" s="2"/>
      <x:c r="AG17" s="2"/>
      <x:c r="AH17" s="10" t="n">
        <x:v>0.064806</x:v>
      </x:c>
      <x:c r="AI17" s="10" t="n">
        <x:v>0.105544</x:v>
      </x:c>
      <x:c r="AJ17" s="2" t="n">
        <x:v>0</x:v>
      </x:c>
      <x:c r="AK17" s="2" t="n">
        <x:v>4</x:v>
      </x:c>
      <x:c r="AL17" s="2" t="n">
        <x:v>1616</x:v>
      </x:c>
      <x:c r="AM17" s="2" t="n">
        <x:v>71</x:v>
      </x:c>
      <x:c r="AN17" s="12" t="d">
        <x:v>2026-10-20T02:36:52.294Z</x:v>
      </x:c>
    </x:row>
    <x:row r="18" ht="21" customHeight="1">
      <x:c r="A18" s="2" t="str">
        <x:v>earlier_valid</x:v>
      </x:c>
      <x:c r="B18" s="2" t="str">
        <x:v>baseline</x:v>
      </x:c>
      <x:c r="C18" s="2" t="n">
        <x:v>2</x:v>
      </x:c>
      <x:c r="D18" s="2" t="str">
        <x:v>complete</x:v>
      </x:c>
      <x:c r="E18" s="2" t="n">
        <x:v>60</x:v>
      </x:c>
      <x:c r="F18" s="9" t="n">
        <x:v>0</x:v>
      </x:c>
      <x:c r="G18" s="10" t="n">
        <x:v>0.137624</x:v>
      </x:c>
      <x:c r="H18" s="10" t="n">
        <x:v>0.163198</x:v>
      </x:c>
      <x:c r="I18" s="10" t="n">
        <x:v>0</x:v>
      </x:c>
      <x:c r="J18" s="10" t="n">
        <x:v>100.061208</x:v>
      </x:c>
      <x:c r="K18" s="11" t="n">
        <x:v>0</x:v>
      </x:c>
      <x:c r="L18" s="11" t="n">
        <x:v>600</x:v>
      </x:c>
      <x:c r="M18" s="11" t="n">
        <x:v>0</x:v>
      </x:c>
      <x:c r="N18" s="11" t="n">
        <x:v>0</x:v>
      </x:c>
      <x:c r="O18" s="11" t="n">
        <x:v>0</x:v>
      </x:c>
      <x:c r="P18" s="2" t="str">
        <x:v>data</x:v>
      </x:c>
      <x:c r="Q18" s="2" t="str">
        <x:v>periodic</x:v>
      </x:c>
      <x:c r="R18" s="2" t="n">
        <x:v>100</x:v>
      </x:c>
      <x:c r="S18" s="2" t="n">
        <x:v>100</x:v>
      </x:c>
      <x:c r="T18" s="2" t="str">
        <x:v>8</x:v>
      </x:c>
      <x:c r="U18" s="2" t="n">
        <x:v>4</x:v>
      </x:c>
      <x:c r="V18" s="2" t="str">
        <x:v>performance</x:v>
      </x:c>
      <x:c r="W18" s="2" t="n">
        <x:v>0</x:v>
      </x:c>
      <x:c r="X18" s="4" t="b">
        <x:v>0</x:v>
      </x:c>
      <x:c r="Y18" s="4" t="b">
        <x:v>0</x:v>
      </x:c>
      <x:c r="Z18" s="2" t="n">
        <x:v>0</x:v>
      </x:c>
      <x:c r="AA18" s="2" t="str">
        <x:v>boot</x:v>
      </x:c>
      <x:c r="AB18" s="12" t="d">
        <x:v>2026-10-20T02:36:52.295Z</x:v>
      </x:c>
      <x:c r="AC18" s="2" t="str">
        <x:v>main/20261020T022353_012707Z/011_baseline_r2</x:v>
      </x:c>
      <x:c r="AD18" s="2" t="str">
        <x:v>f9f42bacce48de3308ed4d9c2c7e3e831bc819de1070ad6e69d756bbc5063f4c</x:v>
      </x:c>
      <x:c r="AE18" s="2" t="str">
        <x:v>fc661864e1c5d20e6f3534da91d3eff58e4e483997c3597816e88133ecd7253f</x:v>
      </x:c>
      <x:c r="AF18" s="2"/>
      <x:c r="AG18" s="2"/>
      <x:c r="AH18" s="10" t="n">
        <x:v>0.065426</x:v>
      </x:c>
      <x:c r="AI18" s="10" t="n">
        <x:v>0.100081</x:v>
      </x:c>
      <x:c r="AJ18" s="2" t="n">
        <x:v>0</x:v>
      </x:c>
      <x:c r="AK18" s="2" t="n">
        <x:v>0</x:v>
      </x:c>
      <x:c r="AL18" s="2" t="n">
        <x:v>1104</x:v>
      </x:c>
      <x:c r="AM18" s="2" t="n">
        <x:v>71</x:v>
      </x:c>
      <x:c r="AN18" s="12" t="d">
        <x:v>2026-10-20T02:38:08.384Z</x:v>
      </x:c>
    </x:row>
    <x:row r="19" ht="21" customHeight="1">
      <x:c r="A19" s="2" t="str">
        <x:v>earlier_valid</x:v>
      </x:c>
      <x:c r="B19" s="2" t="str">
        <x:v>priority_quiet</x:v>
      </x:c>
      <x:c r="C19" s="2" t="n">
        <x:v>2</x:v>
      </x:c>
      <x:c r="D19" s="2" t="str">
        <x:v>complete</x:v>
      </x:c>
      <x:c r="E19" s="2" t="n">
        <x:v>60</x:v>
      </x:c>
      <x:c r="F19" s="9" t="n">
        <x:v>0</x:v>
      </x:c>
      <x:c r="G19" s="10" t="n">
        <x:v>0.13708599999999999</x:v>
      </x:c>
      <x:c r="H19" s="10" t="n">
        <x:v>0.159846</x:v>
      </x:c>
      <x:c r="I19" s="10" t="n">
        <x:v>0</x:v>
      </x:c>
      <x:c r="J19" s="10" t="n">
        <x:v>100.053266</x:v>
      </x:c>
      <x:c r="K19" s="11" t="n">
        <x:v>0</x:v>
      </x:c>
      <x:c r="L19" s="11" t="n">
        <x:v>600</x:v>
      </x:c>
      <x:c r="M19" s="11" t="n">
        <x:v>0</x:v>
      </x:c>
      <x:c r="N19" s="11" t="n">
        <x:v>0</x:v>
      </x:c>
      <x:c r="O19" s="11" t="n">
        <x:v>0</x:v>
      </x:c>
      <x:c r="P19" s="2" t="str">
        <x:v>data</x:v>
      </x:c>
      <x:c r="Q19" s="2" t="str">
        <x:v>periodic</x:v>
      </x:c>
      <x:c r="R19" s="2" t="n">
        <x:v>100</x:v>
      </x:c>
      <x:c r="S19" s="2" t="n">
        <x:v>100</x:v>
      </x:c>
      <x:c r="T19" s="2" t="str">
        <x:v>8</x:v>
      </x:c>
      <x:c r="U19" s="2" t="n">
        <x:v>4</x:v>
      </x:c>
      <x:c r="V19" s="2" t="str">
        <x:v>performance</x:v>
      </x:c>
      <x:c r="W19" s="2" t="n">
        <x:v>0</x:v>
      </x:c>
      <x:c r="X19" s="4" t="b">
        <x:v>1</x:v>
      </x:c>
      <x:c r="Y19" s="4" t="b">
        <x:v>0</x:v>
      </x:c>
      <x:c r="Z19" s="2" t="n">
        <x:v>0</x:v>
      </x:c>
      <x:c r="AA19" s="2" t="str">
        <x:v>boot</x:v>
      </x:c>
      <x:c r="AB19" s="12" t="d">
        <x:v>2026-10-20T02:38:08.386Z</x:v>
      </x:c>
      <x:c r="AC19" s="2" t="str">
        <x:v>main/20261020T022353_012707Z/012_priority_quiet_r2</x:v>
      </x:c>
      <x:c r="AD19" s="2" t="str">
        <x:v>f9f42bacce48de3308ed4d9c2c7e3e831bc819de1070ad6e69d756bbc5063f4c</x:v>
      </x:c>
      <x:c r="AE19" s="2" t="str">
        <x:v>fc661864e1c5d20e6f3534da91d3eff58e4e483997c3597816e88133ecd7253f</x:v>
      </x:c>
      <x:c r="AF19" s="2"/>
      <x:c r="AG19" s="2"/>
      <x:c r="AH19" s="10" t="n">
        <x:v>0.066384</x:v>
      </x:c>
      <x:c r="AI19" s="10" t="n">
        <x:v>0.095506</x:v>
      </x:c>
      <x:c r="AJ19" s="2" t="n">
        <x:v>0</x:v>
      </x:c>
      <x:c r="AK19" s="2" t="n">
        <x:v>0</x:v>
      </x:c>
      <x:c r="AL19" s="2" t="n">
        <x:v>1616</x:v>
      </x:c>
      <x:c r="AM19" s="2" t="n">
        <x:v>71</x:v>
      </x:c>
      <x:c r="AN19" s="12" t="d">
        <x:v>2026-10-20T02:39:24.475Z</x:v>
      </x:c>
    </x:row>
    <x:row r="20" ht="21" customHeight="1">
      <x:c r="A20" s="2" t="str">
        <x:v>earlier_valid</x:v>
      </x:c>
      <x:c r="B20" s="2" t="str">
        <x:v>priority_nice_0</x:v>
      </x:c>
      <x:c r="C20" s="2" t="n">
        <x:v>2</x:v>
      </x:c>
      <x:c r="D20" s="2" t="str">
        <x:v>complete</x:v>
      </x:c>
      <x:c r="E20" s="2" t="n">
        <x:v>60</x:v>
      </x:c>
      <x:c r="F20" s="9" t="n">
        <x:v>0</x:v>
      </x:c>
      <x:c r="G20" s="10" t="n">
        <x:v>0.1506075</x:v>
      </x:c>
      <x:c r="H20" s="10" t="n">
        <x:v>2.641416</x:v>
      </x:c>
      <x:c r="I20" s="10" t="n">
        <x:v>0</x:v>
      </x:c>
      <x:c r="J20" s="10" t="n">
        <x:v>102.505008</x:v>
      </x:c>
      <x:c r="K20" s="11" t="n">
        <x:v>0</x:v>
      </x:c>
      <x:c r="L20" s="11" t="n">
        <x:v>600</x:v>
      </x:c>
      <x:c r="M20" s="11" t="n">
        <x:v>0</x:v>
      </x:c>
      <x:c r="N20" s="11" t="n">
        <x:v>0</x:v>
      </x:c>
      <x:c r="O20" s="11" t="n">
        <x:v>0</x:v>
      </x:c>
      <x:c r="P20" s="2" t="str">
        <x:v>data</x:v>
      </x:c>
      <x:c r="Q20" s="2" t="str">
        <x:v>periodic</x:v>
      </x:c>
      <x:c r="R20" s="2" t="n">
        <x:v>100</x:v>
      </x:c>
      <x:c r="S20" s="2" t="n">
        <x:v>100</x:v>
      </x:c>
      <x:c r="T20" s="2" t="str">
        <x:v>8</x:v>
      </x:c>
      <x:c r="U20" s="2" t="n">
        <x:v>4</x:v>
      </x:c>
      <x:c r="V20" s="2" t="str">
        <x:v>performance</x:v>
      </x:c>
      <x:c r="W20" s="2" t="n">
        <x:v>0</x:v>
      </x:c>
      <x:c r="X20" s="4" t="b">
        <x:v>1</x:v>
      </x:c>
      <x:c r="Y20" s="4" t="b">
        <x:v>1</x:v>
      </x:c>
      <x:c r="Z20" s="2" t="n">
        <x:v>0</x:v>
      </x:c>
      <x:c r="AA20" s="2" t="str">
        <x:v>boot</x:v>
      </x:c>
      <x:c r="AB20" s="12" t="d">
        <x:v>2026-10-20T02:39:24.475Z</x:v>
      </x:c>
      <x:c r="AC20" s="2" t="str">
        <x:v>main/20261020T022353_012707Z/013_priority_nice_0_r2</x:v>
      </x:c>
      <x:c r="AD20" s="2" t="str">
        <x:v>f9f42bacce48de3308ed4d9c2c7e3e831bc819de1070ad6e69d756bbc5063f4c</x:v>
      </x:c>
      <x:c r="AE20" s="2" t="str">
        <x:v>fc661864e1c5d20e6f3534da91d3eff58e4e483997c3597816e88133ecd7253f</x:v>
      </x:c>
      <x:c r="AF20" s="2"/>
      <x:c r="AG20" s="2"/>
      <x:c r="AH20" s="10" t="n">
        <x:v>2.547175</x:v>
      </x:c>
      <x:c r="AI20" s="10" t="n">
        <x:v>0.115804</x:v>
      </x:c>
      <x:c r="AJ20" s="2" t="n">
        <x:v>0</x:v>
      </x:c>
      <x:c r="AK20" s="2" t="n">
        <x:v>1</x:v>
      </x:c>
      <x:c r="AL20" s="2" t="n">
        <x:v>1616</x:v>
      </x:c>
      <x:c r="AM20" s="2" t="n">
        <x:v>71</x:v>
      </x:c>
      <x:c r="AN20" s="12" t="d">
        <x:v>2026-10-20T02:40:40.580Z</x:v>
      </x:c>
    </x:row>
    <x:row r="21" ht="21" customHeight="1">
      <x:c r="A21" s="2" t="str">
        <x:v>earlier_valid</x:v>
      </x:c>
      <x:c r="B21" s="2" t="str">
        <x:v>priority_nice_19</x:v>
      </x:c>
      <x:c r="C21" s="2" t="n">
        <x:v>2</x:v>
      </x:c>
      <x:c r="D21" s="2" t="str">
        <x:v>complete</x:v>
      </x:c>
      <x:c r="E21" s="2" t="n">
        <x:v>60</x:v>
      </x:c>
      <x:c r="F21" s="9" t="n">
        <x:v>0</x:v>
      </x:c>
      <x:c r="G21" s="10" t="n">
        <x:v>4.061382</x:v>
      </x:c>
      <x:c r="H21" s="10" t="n">
        <x:v>4.099695</x:v>
      </x:c>
      <x:c r="I21" s="10" t="n">
        <x:v>0</x:v>
      </x:c>
      <x:c r="J21" s="10" t="n">
        <x:v>103.989869</x:v>
      </x:c>
      <x:c r="K21" s="11" t="n">
        <x:v>0</x:v>
      </x:c>
      <x:c r="L21" s="11" t="n">
        <x:v>600</x:v>
      </x:c>
      <x:c r="M21" s="11" t="n">
        <x:v>0</x:v>
      </x:c>
      <x:c r="N21" s="11" t="n">
        <x:v>0</x:v>
      </x:c>
      <x:c r="O21" s="11" t="n">
        <x:v>0</x:v>
      </x:c>
      <x:c r="P21" s="2" t="str">
        <x:v>data</x:v>
      </x:c>
      <x:c r="Q21" s="2" t="str">
        <x:v>periodic</x:v>
      </x:c>
      <x:c r="R21" s="2" t="n">
        <x:v>100</x:v>
      </x:c>
      <x:c r="S21" s="2" t="n">
        <x:v>100</x:v>
      </x:c>
      <x:c r="T21" s="2" t="str">
        <x:v>8</x:v>
      </x:c>
      <x:c r="U21" s="2" t="n">
        <x:v>4</x:v>
      </x:c>
      <x:c r="V21" s="2" t="str">
        <x:v>performance</x:v>
      </x:c>
      <x:c r="W21" s="2" t="n">
        <x:v>19</x:v>
      </x:c>
      <x:c r="X21" s="4" t="b">
        <x:v>1</x:v>
      </x:c>
      <x:c r="Y21" s="4" t="b">
        <x:v>1</x:v>
      </x:c>
      <x:c r="Z21" s="2" t="n">
        <x:v>0</x:v>
      </x:c>
      <x:c r="AA21" s="2" t="str">
        <x:v>boot</x:v>
      </x:c>
      <x:c r="AB21" s="12" t="d">
        <x:v>2026-10-20T02:40:40.581Z</x:v>
      </x:c>
      <x:c r="AC21" s="2" t="str">
        <x:v>main/20261020T022353_012707Z/014_priority_nice_19_r2</x:v>
      </x:c>
      <x:c r="AD21" s="2" t="str">
        <x:v>f9f42bacce48de3308ed4d9c2c7e3e831bc819de1070ad6e69d756bbc5063f4c</x:v>
      </x:c>
      <x:c r="AE21" s="2" t="str">
        <x:v>fc661864e1c5d20e6f3534da91d3eff58e4e483997c3597816e88133ecd7253f</x:v>
      </x:c>
      <x:c r="AF21" s="2"/>
      <x:c r="AG21" s="2"/>
      <x:c r="AH21" s="10" t="n">
        <x:v>3.98694</x:v>
      </x:c>
      <x:c r="AI21" s="10" t="n">
        <x:v>0.12686</x:v>
      </x:c>
      <x:c r="AJ21" s="2" t="n">
        <x:v>0</x:v>
      </x:c>
      <x:c r="AK21" s="2" t="n">
        <x:v>24</x:v>
      </x:c>
      <x:c r="AL21" s="2" t="n">
        <x:v>1616</x:v>
      </x:c>
      <x:c r="AM21" s="2" t="n">
        <x:v>71</x:v>
      </x:c>
      <x:c r="AN21" s="12" t="d">
        <x:v>2026-10-20T02:41:56.716Z</x:v>
      </x:c>
    </x:row>
    <x:row r="22" ht="21" customHeight="1">
      <x:c r="A22" s="2" t="str">
        <x:v>earlier_valid</x:v>
      </x:c>
      <x:c r="B22" s="2" t="str">
        <x:v>network_rx_50M</x:v>
      </x:c>
      <x:c r="C22" s="2" t="n">
        <x:v>2</x:v>
      </x:c>
      <x:c r="D22" s="2" t="str">
        <x:v>complete</x:v>
      </x:c>
      <x:c r="E22" s="2" t="n">
        <x:v>60</x:v>
      </x:c>
      <x:c r="F22" s="9" t="n">
        <x:v>0</x:v>
      </x:c>
      <x:c r="G22" s="10" t="n">
        <x:v>0.1421045</x:v>
      </x:c>
      <x:c r="H22" s="10" t="n">
        <x:v>0.162035</x:v>
      </x:c>
      <x:c r="I22" s="10" t="n">
        <x:v>0</x:v>
      </x:c>
      <x:c r="J22" s="10" t="n">
        <x:v>100.063938</x:v>
      </x:c>
      <x:c r="K22" s="11" t="n">
        <x:v>0</x:v>
      </x:c>
      <x:c r="L22" s="11" t="n">
        <x:v>600</x:v>
      </x:c>
      <x:c r="M22" s="11" t="n">
        <x:v>0</x:v>
      </x:c>
      <x:c r="N22" s="11" t="n">
        <x:v>0</x:v>
      </x:c>
      <x:c r="O22" s="11" t="n">
        <x:v>0</x:v>
      </x:c>
      <x:c r="P22" s="2" t="str">
        <x:v>data</x:v>
      </x:c>
      <x:c r="Q22" s="2" t="str">
        <x:v>periodic</x:v>
      </x:c>
      <x:c r="R22" s="2" t="n">
        <x:v>100</x:v>
      </x:c>
      <x:c r="S22" s="2" t="n">
        <x:v>100</x:v>
      </x:c>
      <x:c r="T22" s="2" t="str">
        <x:v>8</x:v>
      </x:c>
      <x:c r="U22" s="2" t="n">
        <x:v>4</x:v>
      </x:c>
      <x:c r="V22" s="2" t="str">
        <x:v>performance</x:v>
      </x:c>
      <x:c r="W22" s="2" t="n">
        <x:v>0</x:v>
      </x:c>
      <x:c r="X22" s="4" t="b">
        <x:v>0</x:v>
      </x:c>
      <x:c r="Y22" s="4" t="b">
        <x:v>0</x:v>
      </x:c>
      <x:c r="Z22" s="2" t="n">
        <x:v>50</x:v>
      </x:c>
      <x:c r="AA22" s="2" t="str">
        <x:v>boot</x:v>
      </x:c>
      <x:c r="AB22" s="12" t="d">
        <x:v>2026-10-20T02:41:56.717Z</x:v>
      </x:c>
      <x:c r="AC22" s="2" t="str">
        <x:v>main/20261020T022353_012707Z/015_network_rx_50M_r2</x:v>
      </x:c>
      <x:c r="AD22" s="2" t="str">
        <x:v>f9f42bacce48de3308ed4d9c2c7e3e831bc819de1070ad6e69d756bbc5063f4c</x:v>
      </x:c>
      <x:c r="AE22" s="2" t="str">
        <x:v>fc661864e1c5d20e6f3534da91d3eff58e4e483997c3597816e88133ecd7253f</x:v>
      </x:c>
      <x:c r="AF22" s="2"/>
      <x:c r="AG22" s="2"/>
      <x:c r="AH22" s="10" t="n">
        <x:v>0.064648</x:v>
      </x:c>
      <x:c r="AI22" s="10" t="n">
        <x:v>0.10097</x:v>
      </x:c>
      <x:c r="AJ22" s="2" t="n">
        <x:v>0</x:v>
      </x:c>
      <x:c r="AK22" s="2" t="n">
        <x:v>19</x:v>
      </x:c>
      <x:c r="AL22" s="2" t="n">
        <x:v>1104</x:v>
      </x:c>
      <x:c r="AM22" s="2" t="n">
        <x:v>71</x:v>
      </x:c>
      <x:c r="AN22" s="12" t="d">
        <x:v>2026-10-20T02:43:21.834Z</x:v>
      </x:c>
    </x:row>
    <x:row r="23" ht="21" customHeight="1">
      <x:c r="A23" s="2" t="str">
        <x:v>earlier_valid</x:v>
      </x:c>
      <x:c r="B23" s="2" t="str">
        <x:v>priority_nice_-10</x:v>
      </x:c>
      <x:c r="C23" s="2" t="n">
        <x:v>2</x:v>
      </x:c>
      <x:c r="D23" s="2" t="str">
        <x:v>complete</x:v>
      </x:c>
      <x:c r="E23" s="2" t="n">
        <x:v>60</x:v>
      </x:c>
      <x:c r="F23" s="9" t="n">
        <x:v>0</x:v>
      </x:c>
      <x:c r="G23" s="10" t="n">
        <x:v>0.1604465</x:v>
      </x:c>
      <x:c r="H23" s="10" t="n">
        <x:v>0.198857</x:v>
      </x:c>
      <x:c r="I23" s="10" t="n">
        <x:v>0</x:v>
      </x:c>
      <x:c r="J23" s="10" t="n">
        <x:v>104.726235</x:v>
      </x:c>
      <x:c r="K23" s="11" t="n">
        <x:v>0</x:v>
      </x:c>
      <x:c r="L23" s="11" t="n">
        <x:v>600</x:v>
      </x:c>
      <x:c r="M23" s="11" t="n">
        <x:v>0</x:v>
      </x:c>
      <x:c r="N23" s="11" t="n">
        <x:v>0</x:v>
      </x:c>
      <x:c r="O23" s="11" t="n">
        <x:v>0</x:v>
      </x:c>
      <x:c r="P23" s="2" t="str">
        <x:v>data</x:v>
      </x:c>
      <x:c r="Q23" s="2" t="str">
        <x:v>periodic</x:v>
      </x:c>
      <x:c r="R23" s="2" t="n">
        <x:v>100</x:v>
      </x:c>
      <x:c r="S23" s="2" t="n">
        <x:v>100</x:v>
      </x:c>
      <x:c r="T23" s="2" t="str">
        <x:v>8</x:v>
      </x:c>
      <x:c r="U23" s="2" t="n">
        <x:v>4</x:v>
      </x:c>
      <x:c r="V23" s="2" t="str">
        <x:v>performance</x:v>
      </x:c>
      <x:c r="W23" s="2" t="n">
        <x:v>-10</x:v>
      </x:c>
      <x:c r="X23" s="4" t="b">
        <x:v>1</x:v>
      </x:c>
      <x:c r="Y23" s="4" t="b">
        <x:v>1</x:v>
      </x:c>
      <x:c r="Z23" s="2" t="n">
        <x:v>0</x:v>
      </x:c>
      <x:c r="AA23" s="2" t="str">
        <x:v>boot</x:v>
      </x:c>
      <x:c r="AB23" s="12" t="d">
        <x:v>2026-10-20T02:43:21.835Z</x:v>
      </x:c>
      <x:c r="AC23" s="2" t="str">
        <x:v>main/20261020T022353_012707Z/016_priority_nice_-10_r2</x:v>
      </x:c>
      <x:c r="AD23" s="2" t="str">
        <x:v>f9f42bacce48de3308ed4d9c2c7e3e831bc819de1070ad6e69d756bbc5063f4c</x:v>
      </x:c>
      <x:c r="AE23" s="2" t="str">
        <x:v>fc661864e1c5d20e6f3534da91d3eff58e4e483997c3597816e88133ecd7253f</x:v>
      </x:c>
      <x:c r="AF23" s="2"/>
      <x:c r="AG23" s="2"/>
      <x:c r="AH23" s="10" t="n">
        <x:v>0.062853</x:v>
      </x:c>
      <x:c r="AI23" s="10" t="n">
        <x:v>0.12373</x:v>
      </x:c>
      <x:c r="AJ23" s="2" t="n">
        <x:v>0</x:v>
      </x:c>
      <x:c r="AK23" s="2" t="n">
        <x:v>4</x:v>
      </x:c>
      <x:c r="AL23" s="2" t="n">
        <x:v>1616</x:v>
      </x:c>
      <x:c r="AM23" s="2" t="n">
        <x:v>70</x:v>
      </x:c>
      <x:c r="AN23" s="12" t="d">
        <x:v>2026-10-20T02:44:37.938Z</x:v>
      </x:c>
    </x:row>
    <x:row r="24" ht="21" customHeight="1">
      <x:c r="A24" s="2" t="str">
        <x:v>earlier_valid</x:v>
      </x:c>
      <x:c r="B24" s="2" t="str">
        <x:v>governor_powersave</x:v>
      </x:c>
      <x:c r="C24" s="2" t="n">
        <x:v>2</x:v>
      </x:c>
      <x:c r="D24" s="2" t="str">
        <x:v>complete</x:v>
      </x:c>
      <x:c r="E24" s="2" t="n">
        <x:v>60</x:v>
      </x:c>
      <x:c r="F24" s="9" t="n">
        <x:v>0</x:v>
      </x:c>
      <x:c r="G24" s="10" t="n">
        <x:v>0.1651095</x:v>
      </x:c>
      <x:c r="H24" s="10" t="n">
        <x:v>0.205463</x:v>
      </x:c>
      <x:c r="I24" s="10" t="n">
        <x:v>0</x:v>
      </x:c>
      <x:c r="J24" s="10" t="n">
        <x:v>103.066956</x:v>
      </x:c>
      <x:c r="K24" s="11" t="n">
        <x:v>0</x:v>
      </x:c>
      <x:c r="L24" s="11" t="n">
        <x:v>600</x:v>
      </x:c>
      <x:c r="M24" s="11" t="n">
        <x:v>0</x:v>
      </x:c>
      <x:c r="N24" s="11" t="n">
        <x:v>0</x:v>
      </x:c>
      <x:c r="O24" s="11" t="n">
        <x:v>0</x:v>
      </x:c>
      <x:c r="P24" s="2" t="str">
        <x:v>data</x:v>
      </x:c>
      <x:c r="Q24" s="2" t="str">
        <x:v>periodic</x:v>
      </x:c>
      <x:c r="R24" s="2" t="n">
        <x:v>100</x:v>
      </x:c>
      <x:c r="S24" s="2" t="n">
        <x:v>100</x:v>
      </x:c>
      <x:c r="T24" s="2" t="str">
        <x:v>8</x:v>
      </x:c>
      <x:c r="U24" s="2" t="n">
        <x:v>4</x:v>
      </x:c>
      <x:c r="V24" s="2" t="str">
        <x:v>powersave</x:v>
      </x:c>
      <x:c r="W24" s="2" t="n">
        <x:v>0</x:v>
      </x:c>
      <x:c r="X24" s="4" t="b">
        <x:v>0</x:v>
      </x:c>
      <x:c r="Y24" s="4" t="b">
        <x:v>0</x:v>
      </x:c>
      <x:c r="Z24" s="2" t="n">
        <x:v>0</x:v>
      </x:c>
      <x:c r="AA24" s="2" t="str">
        <x:v>boot</x:v>
      </x:c>
      <x:c r="AB24" s="12" t="d">
        <x:v>2026-10-20T02:44:37.940Z</x:v>
      </x:c>
      <x:c r="AC24" s="2" t="str">
        <x:v>main/20261020T022353_012707Z/017_governor_powersave_r2</x:v>
      </x:c>
      <x:c r="AD24" s="2" t="str">
        <x:v>f9f42bacce48de3308ed4d9c2c7e3e831bc819de1070ad6e69d756bbc5063f4c</x:v>
      </x:c>
      <x:c r="AE24" s="2" t="str">
        <x:v>fc661864e1c5d20e6f3534da91d3eff58e4e483997c3597816e88133ecd7253f</x:v>
      </x:c>
      <x:c r="AF24" s="2"/>
      <x:c r="AG24" s="2"/>
      <x:c r="AH24" s="10" t="n">
        <x:v>0.069605</x:v>
      </x:c>
      <x:c r="AI24" s="10" t="n">
        <x:v>0.134546</x:v>
      </x:c>
      <x:c r="AJ24" s="2" t="n">
        <x:v>0</x:v>
      </x:c>
      <x:c r="AK24" s="2" t="n">
        <x:v>0</x:v>
      </x:c>
      <x:c r="AL24" s="2" t="n">
        <x:v>1104</x:v>
      </x:c>
      <x:c r="AM24" s="2" t="n">
        <x:v>71</x:v>
      </x:c>
      <x:c r="AN24" s="12" t="d">
        <x:v>2026-10-20T02:45:54.055Z</x:v>
      </x:c>
    </x:row>
    <x:row r="25" ht="21" customHeight="1">
      <x:c r="A25" s="2" t="str">
        <x:v>earlier_valid</x:v>
      </x:c>
      <x:c r="B25" s="2" t="str">
        <x:v>governor_ondemand</x:v>
      </x:c>
      <x:c r="C25" s="2" t="n">
        <x:v>2</x:v>
      </x:c>
      <x:c r="D25" s="2" t="str">
        <x:v>complete</x:v>
      </x:c>
      <x:c r="E25" s="2" t="n">
        <x:v>60</x:v>
      </x:c>
      <x:c r="F25" s="9" t="n">
        <x:v>0</x:v>
      </x:c>
      <x:c r="G25" s="10" t="n">
        <x:v>0.1649275</x:v>
      </x:c>
      <x:c r="H25" s="10" t="n">
        <x:v>0.199665</x:v>
      </x:c>
      <x:c r="I25" s="10" t="n">
        <x:v>0</x:v>
      </x:c>
      <x:c r="J25" s="10" t="n">
        <x:v>102.281866</x:v>
      </x:c>
      <x:c r="K25" s="11" t="n">
        <x:v>0</x:v>
      </x:c>
      <x:c r="L25" s="11" t="n">
        <x:v>600</x:v>
      </x:c>
      <x:c r="M25" s="11" t="n">
        <x:v>0</x:v>
      </x:c>
      <x:c r="N25" s="11" t="n">
        <x:v>0</x:v>
      </x:c>
      <x:c r="O25" s="11" t="n">
        <x:v>0</x:v>
      </x:c>
      <x:c r="P25" s="2" t="str">
        <x:v>data</x:v>
      </x:c>
      <x:c r="Q25" s="2" t="str">
        <x:v>periodic</x:v>
      </x:c>
      <x:c r="R25" s="2" t="n">
        <x:v>100</x:v>
      </x:c>
      <x:c r="S25" s="2" t="n">
        <x:v>100</x:v>
      </x:c>
      <x:c r="T25" s="2" t="str">
        <x:v>8</x:v>
      </x:c>
      <x:c r="U25" s="2" t="n">
        <x:v>4</x:v>
      </x:c>
      <x:c r="V25" s="2" t="str">
        <x:v>ondemand</x:v>
      </x:c>
      <x:c r="W25" s="2" t="n">
        <x:v>0</x:v>
      </x:c>
      <x:c r="X25" s="4" t="b">
        <x:v>0</x:v>
      </x:c>
      <x:c r="Y25" s="4" t="b">
        <x:v>0</x:v>
      </x:c>
      <x:c r="Z25" s="2" t="n">
        <x:v>0</x:v>
      </x:c>
      <x:c r="AA25" s="2" t="str">
        <x:v>boot</x:v>
      </x:c>
      <x:c r="AB25" s="12" t="d">
        <x:v>2026-10-20T02:45:54.057Z</x:v>
      </x:c>
      <x:c r="AC25" s="2" t="str">
        <x:v>main/20261020T022353_012707Z/018_governor_ondemand_r2</x:v>
      </x:c>
      <x:c r="AD25" s="2" t="str">
        <x:v>f9f42bacce48de3308ed4d9c2c7e3e831bc819de1070ad6e69d756bbc5063f4c</x:v>
      </x:c>
      <x:c r="AE25" s="2" t="str">
        <x:v>fc661864e1c5d20e6f3534da91d3eff58e4e483997c3597816e88133ecd7253f</x:v>
      </x:c>
      <x:c r="AF25" s="2"/>
      <x:c r="AG25" s="2"/>
      <x:c r="AH25" s="10" t="n">
        <x:v>0.080543</x:v>
      </x:c>
      <x:c r="AI25" s="10" t="n">
        <x:v>0.12625</x:v>
      </x:c>
      <x:c r="AJ25" s="2" t="n">
        <x:v>0</x:v>
      </x:c>
      <x:c r="AK25" s="2" t="n">
        <x:v>0</x:v>
      </x:c>
      <x:c r="AL25" s="2" t="n">
        <x:v>1616</x:v>
      </x:c>
      <x:c r="AM25" s="2" t="n">
        <x:v>71</x:v>
      </x:c>
      <x:c r="AN25" s="12" t="d">
        <x:v>2026-10-20T02:47:10.256Z</x:v>
      </x:c>
    </x:row>
    <x:row r="26" ht="21" customHeight="1">
      <x:c r="A26" s="2" t="str">
        <x:v>failed</x:v>
      </x:c>
      <x:c r="B26" s="2" t="str">
        <x:v>network_rx_10M</x:v>
      </x:c>
      <x:c r="C26" s="2" t="n">
        <x:v>2</x:v>
      </x:c>
      <x:c r="D26" s="2" t="str">
        <x:v>failed</x:v>
      </x:c>
      <x:c r="E26" s="2" t="n">
        <x:v>60</x:v>
      </x:c>
      <x:c r="F26" s="9" t="n">
        <x:v>0</x:v>
      </x:c>
      <x:c r="G26" s="10" t="n">
        <x:v>0.1354185</x:v>
      </x:c>
      <x:c r="H26" s="10" t="n">
        <x:v>0.162836</x:v>
      </x:c>
      <x:c r="I26" s="10" t="n">
        <x:v>0</x:v>
      </x:c>
      <x:c r="J26" s="10" t="n">
        <x:v>100.071272</x:v>
      </x:c>
      <x:c r="K26" s="11" t="n">
        <x:v>0</x:v>
      </x:c>
      <x:c r="L26" s="11" t="n">
        <x:v>600</x:v>
      </x:c>
      <x:c r="M26" s="11" t="n">
        <x:v>0</x:v>
      </x:c>
      <x:c r="N26" s="11" t="n">
        <x:v>0</x:v>
      </x:c>
      <x:c r="O26" s="11" t="n">
        <x:v>0</x:v>
      </x:c>
      <x:c r="P26" s="2" t="str">
        <x:v>data</x:v>
      </x:c>
      <x:c r="Q26" s="2" t="str">
        <x:v>periodic</x:v>
      </x:c>
      <x:c r="R26" s="2" t="n">
        <x:v>100</x:v>
      </x:c>
      <x:c r="S26" s="2" t="n">
        <x:v>100</x:v>
      </x:c>
      <x:c r="T26" s="2" t="str">
        <x:v>8</x:v>
      </x:c>
      <x:c r="U26" s="2" t="n">
        <x:v>4</x:v>
      </x:c>
      <x:c r="V26" s="2" t="str">
        <x:v>performance</x:v>
      </x:c>
      <x:c r="W26" s="2" t="n">
        <x:v>0</x:v>
      </x:c>
      <x:c r="X26" s="4" t="b">
        <x:v>0</x:v>
      </x:c>
      <x:c r="Y26" s="4" t="b">
        <x:v>0</x:v>
      </x:c>
      <x:c r="Z26" s="2" t="n">
        <x:v>10</x:v>
      </x:c>
      <x:c r="AA26" s="2" t="str">
        <x:v>boot</x:v>
      </x:c>
      <x:c r="AB26" s="12" t="d">
        <x:v>2026-10-20T02:47:10.257Z</x:v>
      </x:c>
      <x:c r="AC26" s="2" t="str">
        <x:v>main/20261020T022353_012707Z/019_network_rx_10M_r2</x:v>
      </x:c>
      <x:c r="AD26" s="2" t="str">
        <x:v>f9f42bacce48de3308ed4d9c2c7e3e831bc819de1070ad6e69d756bbc5063f4c</x:v>
      </x:c>
      <x:c r="AE26" s="2" t="str">
        <x:v>fc661864e1c5d20e6f3534da91d3eff58e4e483997c3597816e88133ecd7253f</x:v>
      </x:c>
      <x:c r="AF26" s="2" t="str">
        <x:v>Command '['/usr/bin/iperf3', '-c', '10.0.0.67', '-u', '-R', '-b', '10M', '-l', '1200', '-t', '75', '-J']' timed out after 20 seconds</x:v>
      </x:c>
      <x:c r="AG26" s="2"/>
      <x:c r="AH26" s="10" t="n">
        <x:v>0.066246</x:v>
      </x:c>
      <x:c r="AI26" s="10" t="n">
        <x:v>0.098081</x:v>
      </x:c>
      <x:c r="AJ26" s="2" t="n">
        <x:v>0</x:v>
      </x:c>
      <x:c r="AK26" s="2" t="n">
        <x:v>0</x:v>
      </x:c>
      <x:c r="AL26" s="2" t="n">
        <x:v>1088</x:v>
      </x:c>
      <x:c r="AM26" s="2" t="n">
        <x:v>71</x:v>
      </x:c>
      <x:c r="AN26" s="12" t="d">
        <x:v>2026-10-20T02:48:46.346Z</x:v>
      </x:c>
    </x:row>
    <x:row r="27" ht="21" customHeight="1">
      <x:c r="A27" s="2" t="str">
        <x:v>primary</x:v>
      </x:c>
      <x:c r="B27" s="2" t="str">
        <x:v>priority_quiet</x:v>
      </x:c>
      <x:c r="C27" s="2" t="n">
        <x:v>1</x:v>
      </x:c>
      <x:c r="D27" s="2" t="str">
        <x:v>complete</x:v>
      </x:c>
      <x:c r="E27" s="2" t="n">
        <x:v>60</x:v>
      </x:c>
      <x:c r="F27" s="9" t="n">
        <x:v>0</x:v>
      </x:c>
      <x:c r="G27" s="10" t="n">
        <x:v>0.1250445</x:v>
      </x:c>
      <x:c r="H27" s="10" t="n">
        <x:v>0.157691</x:v>
      </x:c>
      <x:c r="I27" s="10" t="n">
        <x:v>0</x:v>
      </x:c>
      <x:c r="J27" s="10" t="n">
        <x:v>100.06578</x:v>
      </x:c>
      <x:c r="K27" s="11" t="n">
        <x:v>0</x:v>
      </x:c>
      <x:c r="L27" s="11" t="n">
        <x:v>600</x:v>
      </x:c>
      <x:c r="M27" s="11" t="n">
        <x:v>0</x:v>
      </x:c>
      <x:c r="N27" s="11" t="n">
        <x:v>0</x:v>
      </x:c>
      <x:c r="O27" s="11" t="n">
        <x:v>0</x:v>
      </x:c>
      <x:c r="P27" s="2" t="str">
        <x:v>data</x:v>
      </x:c>
      <x:c r="Q27" s="2" t="str">
        <x:v>periodic</x:v>
      </x:c>
      <x:c r="R27" s="2" t="n">
        <x:v>100</x:v>
      </x:c>
      <x:c r="S27" s="2" t="n">
        <x:v>100</x:v>
      </x:c>
      <x:c r="T27" s="2" t="str">
        <x:v>8</x:v>
      </x:c>
      <x:c r="U27" s="2" t="n">
        <x:v>4</x:v>
      </x:c>
      <x:c r="V27" s="2" t="str">
        <x:v>performance</x:v>
      </x:c>
      <x:c r="W27" s="2" t="n">
        <x:v>0</x:v>
      </x:c>
      <x:c r="X27" s="4" t="b">
        <x:v>1</x:v>
      </x:c>
      <x:c r="Y27" s="4" t="b">
        <x:v>0</x:v>
      </x:c>
      <x:c r="Z27" s="2" t="n">
        <x:v>0</x:v>
      </x:c>
      <x:c r="AA27" s="2" t="str">
        <x:v>boot</x:v>
      </x:c>
      <x:c r="AB27" s="12" t="d">
        <x:v>2026-10-20T02:49:52.554Z</x:v>
      </x:c>
      <x:c r="AC27" s="2" t="str">
        <x:v>main/20261020T024952_526575Z/001_priority_quiet_r1</x:v>
      </x:c>
      <x:c r="AD27" s="2" t="str">
        <x:v>f9f42bacce48de3308ed4d9c2c7e3e831bc819de1070ad6e69d756bbc5063f4c</x:v>
      </x:c>
      <x:c r="AE27" s="2" t="str">
        <x:v>fc661864e1c5d20e6f3534da91d3eff58e4e483997c3597816e88133ecd7253f</x:v>
      </x:c>
      <x:c r="AF27" s="2"/>
      <x:c r="AG27" s="2"/>
      <x:c r="AH27" s="10" t="n">
        <x:v>0.059403</x:v>
      </x:c>
      <x:c r="AI27" s="10" t="n">
        <x:v>0.101736</x:v>
      </x:c>
      <x:c r="AJ27" s="2" t="n">
        <x:v>0</x:v>
      </x:c>
      <x:c r="AK27" s="2" t="n">
        <x:v>0</x:v>
      </x:c>
      <x:c r="AL27" s="2" t="n">
        <x:v>1616</x:v>
      </x:c>
      <x:c r="AM27" s="2" t="n">
        <x:v>71</x:v>
      </x:c>
      <x:c r="AN27" s="12" t="d">
        <x:v>2026-10-20T02:51:08.750Z</x:v>
      </x:c>
    </x:row>
    <x:row r="28" ht="21" customHeight="1">
      <x:c r="A28" s="2" t="str">
        <x:v>primary</x:v>
      </x:c>
      <x:c r="B28" s="2" t="str">
        <x:v>priority_nice_19</x:v>
      </x:c>
      <x:c r="C28" s="2" t="n">
        <x:v>1</x:v>
      </x:c>
      <x:c r="D28" s="2" t="str">
        <x:v>complete</x:v>
      </x:c>
      <x:c r="E28" s="2" t="n">
        <x:v>60</x:v>
      </x:c>
      <x:c r="F28" s="9" t="n">
        <x:v>0</x:v>
      </x:c>
      <x:c r="G28" s="10" t="n">
        <x:v>4.060698</x:v>
      </x:c>
      <x:c r="H28" s="10" t="n">
        <x:v>4.108801</x:v>
      </x:c>
      <x:c r="I28" s="10" t="n">
        <x:v>0</x:v>
      </x:c>
      <x:c r="J28" s="10" t="n">
        <x:v>103.920901</x:v>
      </x:c>
      <x:c r="K28" s="11" t="n">
        <x:v>0</x:v>
      </x:c>
      <x:c r="L28" s="11" t="n">
        <x:v>600</x:v>
      </x:c>
      <x:c r="M28" s="11" t="n">
        <x:v>0</x:v>
      </x:c>
      <x:c r="N28" s="11" t="n">
        <x:v>0</x:v>
      </x:c>
      <x:c r="O28" s="11" t="n">
        <x:v>0</x:v>
      </x:c>
      <x:c r="P28" s="2" t="str">
        <x:v>data</x:v>
      </x:c>
      <x:c r="Q28" s="2" t="str">
        <x:v>periodic</x:v>
      </x:c>
      <x:c r="R28" s="2" t="n">
        <x:v>100</x:v>
      </x:c>
      <x:c r="S28" s="2" t="n">
        <x:v>100</x:v>
      </x:c>
      <x:c r="T28" s="2" t="str">
        <x:v>8</x:v>
      </x:c>
      <x:c r="U28" s="2" t="n">
        <x:v>4</x:v>
      </x:c>
      <x:c r="V28" s="2" t="str">
        <x:v>performance</x:v>
      </x:c>
      <x:c r="W28" s="2" t="n">
        <x:v>19</x:v>
      </x:c>
      <x:c r="X28" s="4" t="b">
        <x:v>1</x:v>
      </x:c>
      <x:c r="Y28" s="4" t="b">
        <x:v>1</x:v>
      </x:c>
      <x:c r="Z28" s="2" t="n">
        <x:v>0</x:v>
      </x:c>
      <x:c r="AA28" s="2" t="str">
        <x:v>boot</x:v>
      </x:c>
      <x:c r="AB28" s="12" t="d">
        <x:v>2026-10-20T02:51:08.751Z</x:v>
      </x:c>
      <x:c r="AC28" s="2" t="str">
        <x:v>main/20261020T024952_526575Z/002_priority_nice_19_r1</x:v>
      </x:c>
      <x:c r="AD28" s="2" t="str">
        <x:v>f9f42bacce48de3308ed4d9c2c7e3e831bc819de1070ad6e69d756bbc5063f4c</x:v>
      </x:c>
      <x:c r="AE28" s="2" t="str">
        <x:v>fc661864e1c5d20e6f3534da91d3eff58e4e483997c3597816e88133ecd7253f</x:v>
      </x:c>
      <x:c r="AF28" s="2"/>
      <x:c r="AG28" s="2"/>
      <x:c r="AH28" s="10" t="n">
        <x:v>3.985802</x:v>
      </x:c>
      <x:c r="AI28" s="10" t="n">
        <x:v>0.131938</x:v>
      </x:c>
      <x:c r="AJ28" s="2" t="n">
        <x:v>0</x:v>
      </x:c>
      <x:c r="AK28" s="2" t="n">
        <x:v>14</x:v>
      </x:c>
      <x:c r="AL28" s="2" t="n">
        <x:v>1616</x:v>
      </x:c>
      <x:c r="AM28" s="2" t="n">
        <x:v>71</x:v>
      </x:c>
      <x:c r="AN28" s="12" t="d">
        <x:v>2026-10-20T02:52:24.862Z</x:v>
      </x:c>
    </x:row>
    <x:row r="29" ht="21" customHeight="1">
      <x:c r="A29" s="2" t="str">
        <x:v>primary</x:v>
      </x:c>
      <x:c r="B29" s="2" t="str">
        <x:v>baseline</x:v>
      </x:c>
      <x:c r="C29" s="2" t="n">
        <x:v>1</x:v>
      </x:c>
      <x:c r="D29" s="2" t="str">
        <x:v>complete</x:v>
      </x:c>
      <x:c r="E29" s="2" t="n">
        <x:v>60</x:v>
      </x:c>
      <x:c r="F29" s="9" t="n">
        <x:v>0</x:v>
      </x:c>
      <x:c r="G29" s="10" t="n">
        <x:v>0.1347345</x:v>
      </x:c>
      <x:c r="H29" s="10" t="n">
        <x:v>0.156826</x:v>
      </x:c>
      <x:c r="I29" s="10" t="n">
        <x:v>0</x:v>
      </x:c>
      <x:c r="J29" s="10" t="n">
        <x:v>100.046778</x:v>
      </x:c>
      <x:c r="K29" s="11" t="n">
        <x:v>0</x:v>
      </x:c>
      <x:c r="L29" s="11" t="n">
        <x:v>600</x:v>
      </x:c>
      <x:c r="M29" s="11" t="n">
        <x:v>0</x:v>
      </x:c>
      <x:c r="N29" s="11" t="n">
        <x:v>0</x:v>
      </x:c>
      <x:c r="O29" s="11" t="n">
        <x:v>0</x:v>
      </x:c>
      <x:c r="P29" s="2" t="str">
        <x:v>data</x:v>
      </x:c>
      <x:c r="Q29" s="2" t="str">
        <x:v>periodic</x:v>
      </x:c>
      <x:c r="R29" s="2" t="n">
        <x:v>100</x:v>
      </x:c>
      <x:c r="S29" s="2" t="n">
        <x:v>100</x:v>
      </x:c>
      <x:c r="T29" s="2" t="str">
        <x:v>8</x:v>
      </x:c>
      <x:c r="U29" s="2" t="n">
        <x:v>4</x:v>
      </x:c>
      <x:c r="V29" s="2" t="str">
        <x:v>performance</x:v>
      </x:c>
      <x:c r="W29" s="2" t="n">
        <x:v>0</x:v>
      </x:c>
      <x:c r="X29" s="4" t="b">
        <x:v>0</x:v>
      </x:c>
      <x:c r="Y29" s="4" t="b">
        <x:v>0</x:v>
      </x:c>
      <x:c r="Z29" s="2" t="n">
        <x:v>0</x:v>
      </x:c>
      <x:c r="AA29" s="2" t="str">
        <x:v>boot</x:v>
      </x:c>
      <x:c r="AB29" s="12" t="d">
        <x:v>2026-10-20T02:52:24.863Z</x:v>
      </x:c>
      <x:c r="AC29" s="2" t="str">
        <x:v>main/20261020T024952_526575Z/003_baseline_r1</x:v>
      </x:c>
      <x:c r="AD29" s="2" t="str">
        <x:v>f9f42bacce48de3308ed4d9c2c7e3e831bc819de1070ad6e69d756bbc5063f4c</x:v>
      </x:c>
      <x:c r="AE29" s="2" t="str">
        <x:v>fc661864e1c5d20e6f3534da91d3eff58e4e483997c3597816e88133ecd7253f</x:v>
      </x:c>
      <x:c r="AF29" s="2"/>
      <x:c r="AG29" s="2"/>
      <x:c r="AH29" s="10" t="n">
        <x:v>0.060224</x:v>
      </x:c>
      <x:c r="AI29" s="10" t="n">
        <x:v>0.100837</x:v>
      </x:c>
      <x:c r="AJ29" s="2" t="n">
        <x:v>0</x:v>
      </x:c>
      <x:c r="AK29" s="2" t="n">
        <x:v>0</x:v>
      </x:c>
      <x:c r="AL29" s="2" t="n">
        <x:v>1616</x:v>
      </x:c>
      <x:c r="AM29" s="2" t="n">
        <x:v>72</x:v>
      </x:c>
      <x:c r="AN29" s="12" t="d">
        <x:v>2026-10-20T02:53:41.055Z</x:v>
      </x:c>
    </x:row>
    <x:row r="30" ht="21" customHeight="1">
      <x:c r="A30" s="2" t="str">
        <x:v>primary</x:v>
      </x:c>
      <x:c r="B30" s="2" t="str">
        <x:v>priority_nice_10</x:v>
      </x:c>
      <x:c r="C30" s="2" t="n">
        <x:v>1</x:v>
      </x:c>
      <x:c r="D30" s="2" t="str">
        <x:v>complete</x:v>
      </x:c>
      <x:c r="E30" s="2" t="n">
        <x:v>60</x:v>
      </x:c>
      <x:c r="F30" s="9" t="n">
        <x:v>0</x:v>
      </x:c>
      <x:c r="G30" s="10" t="n">
        <x:v>0.159645</x:v>
      </x:c>
      <x:c r="H30" s="10" t="n">
        <x:v>2.636623</x:v>
      </x:c>
      <x:c r="I30" s="10" t="n">
        <x:v>0</x:v>
      </x:c>
      <x:c r="J30" s="10" t="n">
        <x:v>102.506801</x:v>
      </x:c>
      <x:c r="K30" s="11" t="n">
        <x:v>0</x:v>
      </x:c>
      <x:c r="L30" s="11" t="n">
        <x:v>600</x:v>
      </x:c>
      <x:c r="M30" s="11" t="n">
        <x:v>0</x:v>
      </x:c>
      <x:c r="N30" s="11" t="n">
        <x:v>0</x:v>
      </x:c>
      <x:c r="O30" s="11" t="n">
        <x:v>0</x:v>
      </x:c>
      <x:c r="P30" s="2" t="str">
        <x:v>data</x:v>
      </x:c>
      <x:c r="Q30" s="2" t="str">
        <x:v>periodic</x:v>
      </x:c>
      <x:c r="R30" s="2" t="n">
        <x:v>100</x:v>
      </x:c>
      <x:c r="S30" s="2" t="n">
        <x:v>100</x:v>
      </x:c>
      <x:c r="T30" s="2" t="str">
        <x:v>8</x:v>
      </x:c>
      <x:c r="U30" s="2" t="n">
        <x:v>4</x:v>
      </x:c>
      <x:c r="V30" s="2" t="str">
        <x:v>performance</x:v>
      </x:c>
      <x:c r="W30" s="2" t="n">
        <x:v>10</x:v>
      </x:c>
      <x:c r="X30" s="4" t="b">
        <x:v>1</x:v>
      </x:c>
      <x:c r="Y30" s="4" t="b">
        <x:v>1</x:v>
      </x:c>
      <x:c r="Z30" s="2" t="n">
        <x:v>0</x:v>
      </x:c>
      <x:c r="AA30" s="2" t="str">
        <x:v>boot</x:v>
      </x:c>
      <x:c r="AB30" s="12" t="d">
        <x:v>2026-10-20T02:53:41.056Z</x:v>
      </x:c>
      <x:c r="AC30" s="2" t="str">
        <x:v>main/20261020T024952_526575Z/004_priority_nice_10_r1</x:v>
      </x:c>
      <x:c r="AD30" s="2" t="str">
        <x:v>f9f42bacce48de3308ed4d9c2c7e3e831bc819de1070ad6e69d756bbc5063f4c</x:v>
      </x:c>
      <x:c r="AE30" s="2" t="str">
        <x:v>fc661864e1c5d20e6f3534da91d3eff58e4e483997c3597816e88133ecd7253f</x:v>
      </x:c>
      <x:c r="AF30" s="2"/>
      <x:c r="AG30" s="2"/>
      <x:c r="AH30" s="10" t="n">
        <x:v>2.539246</x:v>
      </x:c>
      <x:c r="AI30" s="10" t="n">
        <x:v>0.11347</x:v>
      </x:c>
      <x:c r="AJ30" s="2" t="n">
        <x:v>0</x:v>
      </x:c>
      <x:c r="AK30" s="2" t="n">
        <x:v>6</x:v>
      </x:c>
      <x:c r="AL30" s="2" t="n">
        <x:v>1616</x:v>
      </x:c>
      <x:c r="AM30" s="2" t="n">
        <x:v>71</x:v>
      </x:c>
      <x:c r="AN30" s="12" t="d">
        <x:v>2026-10-20T02:54:57.171Z</x:v>
      </x:c>
    </x:row>
    <x:row r="31" ht="21" customHeight="1">
      <x:c r="A31" s="2" t="str">
        <x:v>primary</x:v>
      </x:c>
      <x:c r="B31" s="2" t="str">
        <x:v>governor_ondemand</x:v>
      </x:c>
      <x:c r="C31" s="2" t="n">
        <x:v>1</x:v>
      </x:c>
      <x:c r="D31" s="2" t="str">
        <x:v>complete</x:v>
      </x:c>
      <x:c r="E31" s="2" t="n">
        <x:v>60</x:v>
      </x:c>
      <x:c r="F31" s="9" t="n">
        <x:v>0</x:v>
      </x:c>
      <x:c r="G31" s="10" t="n">
        <x:v>0.1635905</x:v>
      </x:c>
      <x:c r="H31" s="10" t="n">
        <x:v>0.188515</x:v>
      </x:c>
      <x:c r="I31" s="10" t="n">
        <x:v>0</x:v>
      </x:c>
      <x:c r="J31" s="10" t="n">
        <x:v>100.060203</x:v>
      </x:c>
      <x:c r="K31" s="11" t="n">
        <x:v>0</x:v>
      </x:c>
      <x:c r="L31" s="11" t="n">
        <x:v>600</x:v>
      </x:c>
      <x:c r="M31" s="11" t="n">
        <x:v>0</x:v>
      </x:c>
      <x:c r="N31" s="11" t="n">
        <x:v>0</x:v>
      </x:c>
      <x:c r="O31" s="11" t="n">
        <x:v>0</x:v>
      </x:c>
      <x:c r="P31" s="2" t="str">
        <x:v>data</x:v>
      </x:c>
      <x:c r="Q31" s="2" t="str">
        <x:v>periodic</x:v>
      </x:c>
      <x:c r="R31" s="2" t="n">
        <x:v>100</x:v>
      </x:c>
      <x:c r="S31" s="2" t="n">
        <x:v>100</x:v>
      </x:c>
      <x:c r="T31" s="2" t="str">
        <x:v>8</x:v>
      </x:c>
      <x:c r="U31" s="2" t="n">
        <x:v>4</x:v>
      </x:c>
      <x:c r="V31" s="2" t="str">
        <x:v>ondemand</x:v>
      </x:c>
      <x:c r="W31" s="2" t="n">
        <x:v>0</x:v>
      </x:c>
      <x:c r="X31" s="4" t="b">
        <x:v>0</x:v>
      </x:c>
      <x:c r="Y31" s="4" t="b">
        <x:v>0</x:v>
      </x:c>
      <x:c r="Z31" s="2" t="n">
        <x:v>0</x:v>
      </x:c>
      <x:c r="AA31" s="2" t="str">
        <x:v>boot</x:v>
      </x:c>
      <x:c r="AB31" s="12" t="d">
        <x:v>2026-10-20T02:54:57.172Z</x:v>
      </x:c>
      <x:c r="AC31" s="2" t="str">
        <x:v>main/20261020T024952_526575Z/005_governor_ondemand_r1</x:v>
      </x:c>
      <x:c r="AD31" s="2" t="str">
        <x:v>f9f42bacce48de3308ed4d9c2c7e3e831bc819de1070ad6e69d756bbc5063f4c</x:v>
      </x:c>
      <x:c r="AE31" s="2" t="str">
        <x:v>fc661864e1c5d20e6f3534da91d3eff58e4e483997c3597816e88133ecd7253f</x:v>
      </x:c>
      <x:c r="AF31" s="2"/>
      <x:c r="AG31" s="2"/>
      <x:c r="AH31" s="10" t="n">
        <x:v>0.073131</x:v>
      </x:c>
      <x:c r="AI31" s="10" t="n">
        <x:v>0.122437</x:v>
      </x:c>
      <x:c r="AJ31" s="2" t="n">
        <x:v>0</x:v>
      </x:c>
      <x:c r="AK31" s="2" t="n">
        <x:v>0</x:v>
      </x:c>
      <x:c r="AL31" s="2" t="n">
        <x:v>1104</x:v>
      </x:c>
      <x:c r="AM31" s="2" t="n">
        <x:v>71</x:v>
      </x:c>
      <x:c r="AN31" s="12" t="d">
        <x:v>2026-10-20T02:56:13.364Z</x:v>
      </x:c>
    </x:row>
    <x:row r="32" ht="21" customHeight="1">
      <x:c r="A32" s="2" t="str">
        <x:v>primary</x:v>
      </x:c>
      <x:c r="B32" s="2" t="str">
        <x:v>governor_powersave</x:v>
      </x:c>
      <x:c r="C32" s="2" t="n">
        <x:v>1</x:v>
      </x:c>
      <x:c r="D32" s="2" t="str">
        <x:v>complete</x:v>
      </x:c>
      <x:c r="E32" s="2" t="n">
        <x:v>60</x:v>
      </x:c>
      <x:c r="F32" s="9" t="n">
        <x:v>0</x:v>
      </x:c>
      <x:c r="G32" s="10" t="n">
        <x:v>0.161344</x:v>
      </x:c>
      <x:c r="H32" s="10" t="n">
        <x:v>0.194704</x:v>
      </x:c>
      <x:c r="I32" s="10" t="n">
        <x:v>0</x:v>
      </x:c>
      <x:c r="J32" s="10" t="n">
        <x:v>100.079701</x:v>
      </x:c>
      <x:c r="K32" s="11" t="n">
        <x:v>0</x:v>
      </x:c>
      <x:c r="L32" s="11" t="n">
        <x:v>600</x:v>
      </x:c>
      <x:c r="M32" s="11" t="n">
        <x:v>0</x:v>
      </x:c>
      <x:c r="N32" s="11" t="n">
        <x:v>0</x:v>
      </x:c>
      <x:c r="O32" s="11" t="n">
        <x:v>0</x:v>
      </x:c>
      <x:c r="P32" s="2" t="str">
        <x:v>data</x:v>
      </x:c>
      <x:c r="Q32" s="2" t="str">
        <x:v>periodic</x:v>
      </x:c>
      <x:c r="R32" s="2" t="n">
        <x:v>100</x:v>
      </x:c>
      <x:c r="S32" s="2" t="n">
        <x:v>100</x:v>
      </x:c>
      <x:c r="T32" s="2" t="str">
        <x:v>8</x:v>
      </x:c>
      <x:c r="U32" s="2" t="n">
        <x:v>4</x:v>
      </x:c>
      <x:c r="V32" s="2" t="str">
        <x:v>powersave</x:v>
      </x:c>
      <x:c r="W32" s="2" t="n">
        <x:v>0</x:v>
      </x:c>
      <x:c r="X32" s="4" t="b">
        <x:v>0</x:v>
      </x:c>
      <x:c r="Y32" s="4" t="b">
        <x:v>0</x:v>
      </x:c>
      <x:c r="Z32" s="2" t="n">
        <x:v>0</x:v>
      </x:c>
      <x:c r="AA32" s="2" t="str">
        <x:v>boot</x:v>
      </x:c>
      <x:c r="AB32" s="12" t="d">
        <x:v>2026-10-20T02:56:13.365Z</x:v>
      </x:c>
      <x:c r="AC32" s="2" t="str">
        <x:v>main/20261020T024952_526575Z/006_governor_powersave_r1</x:v>
      </x:c>
      <x:c r="AD32" s="2" t="str">
        <x:v>f9f42bacce48de3308ed4d9c2c7e3e831bc819de1070ad6e69d756bbc5063f4c</x:v>
      </x:c>
      <x:c r="AE32" s="2" t="str">
        <x:v>fc661864e1c5d20e6f3534da91d3eff58e4e483997c3597816e88133ecd7253f</x:v>
      </x:c>
      <x:c r="AF32" s="2"/>
      <x:c r="AG32" s="2"/>
      <x:c r="AH32" s="10" t="n">
        <x:v>0.065635</x:v>
      </x:c>
      <x:c r="AI32" s="10" t="n">
        <x:v>0.131271</x:v>
      </x:c>
      <x:c r="AJ32" s="2" t="n">
        <x:v>0</x:v>
      </x:c>
      <x:c r="AK32" s="2" t="n">
        <x:v>0</x:v>
      </x:c>
      <x:c r="AL32" s="2" t="n">
        <x:v>1616</x:v>
      </x:c>
      <x:c r="AM32" s="2" t="n">
        <x:v>71</x:v>
      </x:c>
      <x:c r="AN32" s="12" t="d">
        <x:v>2026-10-20T02:57:29.484Z</x:v>
      </x:c>
    </x:row>
    <x:row r="33" ht="21" customHeight="1">
      <x:c r="A33" s="2" t="str">
        <x:v>primary</x:v>
      </x:c>
      <x:c r="B33" s="2" t="str">
        <x:v>network_rx_10M</x:v>
      </x:c>
      <x:c r="C33" s="2" t="n">
        <x:v>1</x:v>
      </x:c>
      <x:c r="D33" s="2" t="str">
        <x:v>complete</x:v>
      </x:c>
      <x:c r="E33" s="2" t="n">
        <x:v>60</x:v>
      </x:c>
      <x:c r="F33" s="9" t="n">
        <x:v>0</x:v>
      </x:c>
      <x:c r="G33" s="10" t="n">
        <x:v>0.13893850000000002</x:v>
      </x:c>
      <x:c r="H33" s="10" t="n">
        <x:v>0.158879</x:v>
      </x:c>
      <x:c r="I33" s="10" t="n">
        <x:v>0</x:v>
      </x:c>
      <x:c r="J33" s="10" t="n">
        <x:v>100.060813</x:v>
      </x:c>
      <x:c r="K33" s="11" t="n">
        <x:v>0</x:v>
      </x:c>
      <x:c r="L33" s="11" t="n">
        <x:v>600</x:v>
      </x:c>
      <x:c r="M33" s="11" t="n">
        <x:v>0</x:v>
      </x:c>
      <x:c r="N33" s="11" t="n">
        <x:v>0</x:v>
      </x:c>
      <x:c r="O33" s="11" t="n">
        <x:v>0</x:v>
      </x:c>
      <x:c r="P33" s="2" t="str">
        <x:v>data</x:v>
      </x:c>
      <x:c r="Q33" s="2" t="str">
        <x:v>periodic</x:v>
      </x:c>
      <x:c r="R33" s="2" t="n">
        <x:v>100</x:v>
      </x:c>
      <x:c r="S33" s="2" t="n">
        <x:v>100</x:v>
      </x:c>
      <x:c r="T33" s="2" t="str">
        <x:v>8</x:v>
      </x:c>
      <x:c r="U33" s="2" t="n">
        <x:v>4</x:v>
      </x:c>
      <x:c r="V33" s="2" t="str">
        <x:v>performance</x:v>
      </x:c>
      <x:c r="W33" s="2" t="n">
        <x:v>0</x:v>
      </x:c>
      <x:c r="X33" s="4" t="b">
        <x:v>0</x:v>
      </x:c>
      <x:c r="Y33" s="4" t="b">
        <x:v>0</x:v>
      </x:c>
      <x:c r="Z33" s="2" t="n">
        <x:v>10</x:v>
      </x:c>
      <x:c r="AA33" s="2" t="str">
        <x:v>boot</x:v>
      </x:c>
      <x:c r="AB33" s="12" t="d">
        <x:v>2026-10-20T02:57:29.485Z</x:v>
      </x:c>
      <x:c r="AC33" s="2" t="str">
        <x:v>main/20261020T024952_526575Z/007_network_rx_10M_r1</x:v>
      </x:c>
      <x:c r="AD33" s="2" t="str">
        <x:v>f9f42bacce48de3308ed4d9c2c7e3e831bc819de1070ad6e69d756bbc5063f4c</x:v>
      </x:c>
      <x:c r="AE33" s="2" t="str">
        <x:v>fc661864e1c5d20e6f3534da91d3eff58e4e483997c3597816e88133ecd7253f</x:v>
      </x:c>
      <x:c r="AF33" s="2"/>
      <x:c r="AG33" s="2"/>
      <x:c r="AH33" s="10" t="n">
        <x:v>0.061883</x:v>
      </x:c>
      <x:c r="AI33" s="10" t="n">
        <x:v>0.099793</x:v>
      </x:c>
      <x:c r="AJ33" s="2" t="n">
        <x:v>0</x:v>
      </x:c>
      <x:c r="AK33" s="2" t="n">
        <x:v>0</x:v>
      </x:c>
      <x:c r="AL33" s="2" t="n">
        <x:v>1104</x:v>
      </x:c>
      <x:c r="AM33" s="2" t="n">
        <x:v>71</x:v>
      </x:c>
      <x:c r="AN33" s="12" t="d">
        <x:v>2026-10-20T02:58:54.696Z</x:v>
      </x:c>
    </x:row>
    <x:row r="34" ht="21" customHeight="1">
      <x:c r="A34" s="2" t="str">
        <x:v>primary</x:v>
      </x:c>
      <x:c r="B34" s="2" t="str">
        <x:v>priority_nice_0</x:v>
      </x:c>
      <x:c r="C34" s="2" t="n">
        <x:v>1</x:v>
      </x:c>
      <x:c r="D34" s="2" t="str">
        <x:v>complete</x:v>
      </x:c>
      <x:c r="E34" s="2" t="n">
        <x:v>60</x:v>
      </x:c>
      <x:c r="F34" s="9" t="n">
        <x:v>0</x:v>
      </x:c>
      <x:c r="G34" s="10" t="n">
        <x:v>0.151887</x:v>
      </x:c>
      <x:c r="H34" s="10" t="n">
        <x:v>2.506843</x:v>
      </x:c>
      <x:c r="I34" s="10" t="n">
        <x:v>0</x:v>
      </x:c>
      <x:c r="J34" s="10" t="n">
        <x:v>102.389349</x:v>
      </x:c>
      <x:c r="K34" s="11" t="n">
        <x:v>0</x:v>
      </x:c>
      <x:c r="L34" s="11" t="n">
        <x:v>600</x:v>
      </x:c>
      <x:c r="M34" s="11" t="n">
        <x:v>0</x:v>
      </x:c>
      <x:c r="N34" s="11" t="n">
        <x:v>0</x:v>
      </x:c>
      <x:c r="O34" s="11" t="n">
        <x:v>0</x:v>
      </x:c>
      <x:c r="P34" s="2" t="str">
        <x:v>data</x:v>
      </x:c>
      <x:c r="Q34" s="2" t="str">
        <x:v>periodic</x:v>
      </x:c>
      <x:c r="R34" s="2" t="n">
        <x:v>100</x:v>
      </x:c>
      <x:c r="S34" s="2" t="n">
        <x:v>100</x:v>
      </x:c>
      <x:c r="T34" s="2" t="str">
        <x:v>8</x:v>
      </x:c>
      <x:c r="U34" s="2" t="n">
        <x:v>4</x:v>
      </x:c>
      <x:c r="V34" s="2" t="str">
        <x:v>performance</x:v>
      </x:c>
      <x:c r="W34" s="2" t="n">
        <x:v>0</x:v>
      </x:c>
      <x:c r="X34" s="4" t="b">
        <x:v>1</x:v>
      </x:c>
      <x:c r="Y34" s="4" t="b">
        <x:v>1</x:v>
      </x:c>
      <x:c r="Z34" s="2" t="n">
        <x:v>0</x:v>
      </x:c>
      <x:c r="AA34" s="2" t="str">
        <x:v>boot</x:v>
      </x:c>
      <x:c r="AB34" s="12" t="d">
        <x:v>2026-10-20T02:58:54.698Z</x:v>
      </x:c>
      <x:c r="AC34" s="2" t="str">
        <x:v>main/20261020T024952_526575Z/008_priority_nice_0_r1</x:v>
      </x:c>
      <x:c r="AD34" s="2" t="str">
        <x:v>f9f42bacce48de3308ed4d9c2c7e3e831bc819de1070ad6e69d756bbc5063f4c</x:v>
      </x:c>
      <x:c r="AE34" s="2" t="str">
        <x:v>fc661864e1c5d20e6f3534da91d3eff58e4e483997c3597816e88133ecd7253f</x:v>
      </x:c>
      <x:c r="AF34" s="2"/>
      <x:c r="AG34" s="2"/>
      <x:c r="AH34" s="10" t="n">
        <x:v>2.406798</x:v>
      </x:c>
      <x:c r="AI34" s="10" t="n">
        <x:v>0.110165</x:v>
      </x:c>
      <x:c r="AJ34" s="2" t="n">
        <x:v>0</x:v>
      </x:c>
      <x:c r="AK34" s="2" t="n">
        <x:v>1</x:v>
      </x:c>
      <x:c r="AL34" s="2" t="n">
        <x:v>1616</x:v>
      </x:c>
      <x:c r="AM34" s="2" t="n">
        <x:v>73</x:v>
      </x:c>
      <x:c r="AN34" s="12" t="d">
        <x:v>2026-10-20T03:00:10.908Z</x:v>
      </x:c>
    </x:row>
    <x:row r="35" ht="21" customHeight="1">
      <x:c r="A35" s="2" t="str">
        <x:v>primary</x:v>
      </x:c>
      <x:c r="B35" s="2" t="str">
        <x:v>priority_nice_-10</x:v>
      </x:c>
      <x:c r="C35" s="2" t="n">
        <x:v>1</x:v>
      </x:c>
      <x:c r="D35" s="2" t="str">
        <x:v>complete</x:v>
      </x:c>
      <x:c r="E35" s="2" t="n">
        <x:v>60</x:v>
      </x:c>
      <x:c r="F35" s="9" t="n">
        <x:v>0</x:v>
      </x:c>
      <x:c r="G35" s="10" t="n">
        <x:v>0.15144400000000002</x:v>
      </x:c>
      <x:c r="H35" s="10" t="n">
        <x:v>0.188976</x:v>
      </x:c>
      <x:c r="I35" s="10" t="n">
        <x:v>0</x:v>
      </x:c>
      <x:c r="J35" s="10" t="n">
        <x:v>102.509144</x:v>
      </x:c>
      <x:c r="K35" s="11" t="n">
        <x:v>0</x:v>
      </x:c>
      <x:c r="L35" s="11" t="n">
        <x:v>600</x:v>
      </x:c>
      <x:c r="M35" s="11" t="n">
        <x:v>0</x:v>
      </x:c>
      <x:c r="N35" s="11" t="n">
        <x:v>0</x:v>
      </x:c>
      <x:c r="O35" s="11" t="n">
        <x:v>0</x:v>
      </x:c>
      <x:c r="P35" s="2" t="str">
        <x:v>data</x:v>
      </x:c>
      <x:c r="Q35" s="2" t="str">
        <x:v>periodic</x:v>
      </x:c>
      <x:c r="R35" s="2" t="n">
        <x:v>100</x:v>
      </x:c>
      <x:c r="S35" s="2" t="n">
        <x:v>100</x:v>
      </x:c>
      <x:c r="T35" s="2" t="str">
        <x:v>8</x:v>
      </x:c>
      <x:c r="U35" s="2" t="n">
        <x:v>4</x:v>
      </x:c>
      <x:c r="V35" s="2" t="str">
        <x:v>performance</x:v>
      </x:c>
      <x:c r="W35" s="2" t="n">
        <x:v>-10</x:v>
      </x:c>
      <x:c r="X35" s="4" t="b">
        <x:v>1</x:v>
      </x:c>
      <x:c r="Y35" s="4" t="b">
        <x:v>1</x:v>
      </x:c>
      <x:c r="Z35" s="2" t="n">
        <x:v>0</x:v>
      </x:c>
      <x:c r="AA35" s="2" t="str">
        <x:v>boot</x:v>
      </x:c>
      <x:c r="AB35" s="12" t="d">
        <x:v>2026-10-20T03:00:10.909Z</x:v>
      </x:c>
      <x:c r="AC35" s="2" t="str">
        <x:v>main/20261020T024952_526575Z/009_priority_nice_-10_r1</x:v>
      </x:c>
      <x:c r="AD35" s="2" t="str">
        <x:v>f9f42bacce48de3308ed4d9c2c7e3e831bc819de1070ad6e69d756bbc5063f4c</x:v>
      </x:c>
      <x:c r="AE35" s="2" t="str">
        <x:v>fc661864e1c5d20e6f3534da91d3eff58e4e483997c3597816e88133ecd7253f</x:v>
      </x:c>
      <x:c r="AF35" s="2"/>
      <x:c r="AG35" s="2"/>
      <x:c r="AH35" s="10" t="n">
        <x:v>0.062749</x:v>
      </x:c>
      <x:c r="AI35" s="10" t="n">
        <x:v>0.112462</x:v>
      </x:c>
      <x:c r="AJ35" s="2" t="n">
        <x:v>0</x:v>
      </x:c>
      <x:c r="AK35" s="2" t="n">
        <x:v>1</x:v>
      </x:c>
      <x:c r="AL35" s="2" t="n">
        <x:v>1616</x:v>
      </x:c>
      <x:c r="AM35" s="2" t="n">
        <x:v>71</x:v>
      </x:c>
      <x:c r="AN35" s="12" t="d">
        <x:v>2026-10-20T03:01:27.025Z</x:v>
      </x:c>
    </x:row>
    <x:row r="36" ht="21" customHeight="1">
      <x:c r="A36" s="2" t="str">
        <x:v>primary</x:v>
      </x:c>
      <x:c r="B36" s="2" t="str">
        <x:v>network_rx_50M</x:v>
      </x:c>
      <x:c r="C36" s="2" t="n">
        <x:v>1</x:v>
      </x:c>
      <x:c r="D36" s="2" t="str">
        <x:v>complete</x:v>
      </x:c>
      <x:c r="E36" s="2" t="n">
        <x:v>60</x:v>
      </x:c>
      <x:c r="F36" s="9" t="n">
        <x:v>0</x:v>
      </x:c>
      <x:c r="G36" s="10" t="n">
        <x:v>0.1408945</x:v>
      </x:c>
      <x:c r="H36" s="10" t="n">
        <x:v>0.173526</x:v>
      </x:c>
      <x:c r="I36" s="10" t="n">
        <x:v>0</x:v>
      </x:c>
      <x:c r="J36" s="10" t="n">
        <x:v>100.068621</x:v>
      </x:c>
      <x:c r="K36" s="11" t="n">
        <x:v>0</x:v>
      </x:c>
      <x:c r="L36" s="11" t="n">
        <x:v>600</x:v>
      </x:c>
      <x:c r="M36" s="11" t="n">
        <x:v>0</x:v>
      </x:c>
      <x:c r="N36" s="11" t="n">
        <x:v>0</x:v>
      </x:c>
      <x:c r="O36" s="11" t="n">
        <x:v>0</x:v>
      </x:c>
      <x:c r="P36" s="2" t="str">
        <x:v>data</x:v>
      </x:c>
      <x:c r="Q36" s="2" t="str">
        <x:v>periodic</x:v>
      </x:c>
      <x:c r="R36" s="2" t="n">
        <x:v>100</x:v>
      </x:c>
      <x:c r="S36" s="2" t="n">
        <x:v>100</x:v>
      </x:c>
      <x:c r="T36" s="2" t="str">
        <x:v>8</x:v>
      </x:c>
      <x:c r="U36" s="2" t="n">
        <x:v>4</x:v>
      </x:c>
      <x:c r="V36" s="2" t="str">
        <x:v>performance</x:v>
      </x:c>
      <x:c r="W36" s="2" t="n">
        <x:v>0</x:v>
      </x:c>
      <x:c r="X36" s="4" t="b">
        <x:v>0</x:v>
      </x:c>
      <x:c r="Y36" s="4" t="b">
        <x:v>0</x:v>
      </x:c>
      <x:c r="Z36" s="2" t="n">
        <x:v>50</x:v>
      </x:c>
      <x:c r="AA36" s="2" t="str">
        <x:v>boot</x:v>
      </x:c>
      <x:c r="AB36" s="12" t="d">
        <x:v>2026-10-20T03:01:27.026Z</x:v>
      </x:c>
      <x:c r="AC36" s="2" t="str">
        <x:v>main/20261020T024952_526575Z/010_network_rx_50M_r1</x:v>
      </x:c>
      <x:c r="AD36" s="2" t="str">
        <x:v>f9f42bacce48de3308ed4d9c2c7e3e831bc819de1070ad6e69d756bbc5063f4c</x:v>
      </x:c>
      <x:c r="AE36" s="2" t="str">
        <x:v>fc661864e1c5d20e6f3534da91d3eff58e4e483997c3597816e88133ecd7253f</x:v>
      </x:c>
      <x:c r="AF36" s="2"/>
      <x:c r="AG36" s="2"/>
      <x:c r="AH36" s="10" t="n">
        <x:v>0.062715</x:v>
      </x:c>
      <x:c r="AI36" s="10" t="n">
        <x:v>0.115222</x:v>
      </x:c>
      <x:c r="AJ36" s="2" t="n">
        <x:v>0</x:v>
      </x:c>
      <x:c r="AK36" s="2" t="n">
        <x:v>30</x:v>
      </x:c>
      <x:c r="AL36" s="2" t="n">
        <x:v>1104</x:v>
      </x:c>
      <x:c r="AM36" s="2" t="n">
        <x:v>70</x:v>
      </x:c>
      <x:c r="AN36" s="12" t="d">
        <x:v>2026-10-20T03:02:52.199Z</x:v>
      </x:c>
    </x:row>
    <x:row r="37" ht="21" customHeight="1">
      <x:c r="A37" s="2" t="str">
        <x:v>primary</x:v>
      </x:c>
      <x:c r="B37" s="2" t="str">
        <x:v>baseline</x:v>
      </x:c>
      <x:c r="C37" s="2" t="n">
        <x:v>2</x:v>
      </x:c>
      <x:c r="D37" s="2" t="str">
        <x:v>complete</x:v>
      </x:c>
      <x:c r="E37" s="2" t="n">
        <x:v>60</x:v>
      </x:c>
      <x:c r="F37" s="9" t="n">
        <x:v>0</x:v>
      </x:c>
      <x:c r="G37" s="10" t="n">
        <x:v>0.1362085</x:v>
      </x:c>
      <x:c r="H37" s="10" t="n">
        <x:v>0.15615</x:v>
      </x:c>
      <x:c r="I37" s="10" t="n">
        <x:v>0</x:v>
      </x:c>
      <x:c r="J37" s="10" t="n">
        <x:v>100.071631</x:v>
      </x:c>
      <x:c r="K37" s="11" t="n">
        <x:v>0</x:v>
      </x:c>
      <x:c r="L37" s="11" t="n">
        <x:v>600</x:v>
      </x:c>
      <x:c r="M37" s="11" t="n">
        <x:v>0</x:v>
      </x:c>
      <x:c r="N37" s="11" t="n">
        <x:v>0</x:v>
      </x:c>
      <x:c r="O37" s="11" t="n">
        <x:v>0</x:v>
      </x:c>
      <x:c r="P37" s="2" t="str">
        <x:v>data</x:v>
      </x:c>
      <x:c r="Q37" s="2" t="str">
        <x:v>periodic</x:v>
      </x:c>
      <x:c r="R37" s="2" t="n">
        <x:v>100</x:v>
      </x:c>
      <x:c r="S37" s="2" t="n">
        <x:v>100</x:v>
      </x:c>
      <x:c r="T37" s="2" t="str">
        <x:v>8</x:v>
      </x:c>
      <x:c r="U37" s="2" t="n">
        <x:v>4</x:v>
      </x:c>
      <x:c r="V37" s="2" t="str">
        <x:v>performance</x:v>
      </x:c>
      <x:c r="W37" s="2" t="n">
        <x:v>0</x:v>
      </x:c>
      <x:c r="X37" s="4" t="b">
        <x:v>0</x:v>
      </x:c>
      <x:c r="Y37" s="4" t="b">
        <x:v>0</x:v>
      </x:c>
      <x:c r="Z37" s="2" t="n">
        <x:v>0</x:v>
      </x:c>
      <x:c r="AA37" s="2" t="str">
        <x:v>boot</x:v>
      </x:c>
      <x:c r="AB37" s="12" t="d">
        <x:v>2026-10-20T03:02:52.200Z</x:v>
      </x:c>
      <x:c r="AC37" s="2" t="str">
        <x:v>main/20261020T024952_526575Z/011_baseline_r2</x:v>
      </x:c>
      <x:c r="AD37" s="2" t="str">
        <x:v>f9f42bacce48de3308ed4d9c2c7e3e831bc819de1070ad6e69d756bbc5063f4c</x:v>
      </x:c>
      <x:c r="AE37" s="2" t="str">
        <x:v>fc661864e1c5d20e6f3534da91d3eff58e4e483997c3597816e88133ecd7253f</x:v>
      </x:c>
      <x:c r="AF37" s="2"/>
      <x:c r="AG37" s="2"/>
      <x:c r="AH37" s="10" t="n">
        <x:v>0.062663</x:v>
      </x:c>
      <x:c r="AI37" s="10" t="n">
        <x:v>0.095463</x:v>
      </x:c>
      <x:c r="AJ37" s="2" t="n">
        <x:v>0</x:v>
      </x:c>
      <x:c r="AK37" s="2" t="n">
        <x:v>1</x:v>
      </x:c>
      <x:c r="AL37" s="2" t="n">
        <x:v>1616</x:v>
      </x:c>
      <x:c r="AM37" s="2" t="n">
        <x:v>70</x:v>
      </x:c>
      <x:c r="AN37" s="12" t="d">
        <x:v>2026-10-20T03:04:08.291Z</x:v>
      </x:c>
    </x:row>
    <x:row r="38" ht="21" customHeight="1">
      <x:c r="A38" s="2" t="str">
        <x:v>primary</x:v>
      </x:c>
      <x:c r="B38" s="2" t="str">
        <x:v>priority_quiet</x:v>
      </x:c>
      <x:c r="C38" s="2" t="n">
        <x:v>2</x:v>
      </x:c>
      <x:c r="D38" s="2" t="str">
        <x:v>complete</x:v>
      </x:c>
      <x:c r="E38" s="2" t="n">
        <x:v>60</x:v>
      </x:c>
      <x:c r="F38" s="9" t="n">
        <x:v>0</x:v>
      </x:c>
      <x:c r="G38" s="10" t="n">
        <x:v>0.1347685</x:v>
      </x:c>
      <x:c r="H38" s="10" t="n">
        <x:v>0.156837</x:v>
      </x:c>
      <x:c r="I38" s="10" t="n">
        <x:v>0</x:v>
      </x:c>
      <x:c r="J38" s="10" t="n">
        <x:v>100.051955</x:v>
      </x:c>
      <x:c r="K38" s="11" t="n">
        <x:v>0</x:v>
      </x:c>
      <x:c r="L38" s="11" t="n">
        <x:v>600</x:v>
      </x:c>
      <x:c r="M38" s="11" t="n">
        <x:v>0</x:v>
      </x:c>
      <x:c r="N38" s="11" t="n">
        <x:v>0</x:v>
      </x:c>
      <x:c r="O38" s="11" t="n">
        <x:v>0</x:v>
      </x:c>
      <x:c r="P38" s="2" t="str">
        <x:v>data</x:v>
      </x:c>
      <x:c r="Q38" s="2" t="str">
        <x:v>periodic</x:v>
      </x:c>
      <x:c r="R38" s="2" t="n">
        <x:v>100</x:v>
      </x:c>
      <x:c r="S38" s="2" t="n">
        <x:v>100</x:v>
      </x:c>
      <x:c r="T38" s="2" t="str">
        <x:v>8</x:v>
      </x:c>
      <x:c r="U38" s="2" t="n">
        <x:v>4</x:v>
      </x:c>
      <x:c r="V38" s="2" t="str">
        <x:v>performance</x:v>
      </x:c>
      <x:c r="W38" s="2" t="n">
        <x:v>0</x:v>
      </x:c>
      <x:c r="X38" s="4" t="b">
        <x:v>1</x:v>
      </x:c>
      <x:c r="Y38" s="4" t="b">
        <x:v>0</x:v>
      </x:c>
      <x:c r="Z38" s="2" t="n">
        <x:v>0</x:v>
      </x:c>
      <x:c r="AA38" s="2" t="str">
        <x:v>boot</x:v>
      </x:c>
      <x:c r="AB38" s="12" t="d">
        <x:v>2026-10-20T03:04:08.292Z</x:v>
      </x:c>
      <x:c r="AC38" s="2" t="str">
        <x:v>main/20261020T024952_526575Z/012_priority_quiet_r2</x:v>
      </x:c>
      <x:c r="AD38" s="2" t="str">
        <x:v>f9f42bacce48de3308ed4d9c2c7e3e831bc819de1070ad6e69d756bbc5063f4c</x:v>
      </x:c>
      <x:c r="AE38" s="2" t="str">
        <x:v>fc661864e1c5d20e6f3534da91d3eff58e4e483997c3597816e88133ecd7253f</x:v>
      </x:c>
      <x:c r="AF38" s="2"/>
      <x:c r="AG38" s="2"/>
      <x:c r="AH38" s="10" t="n">
        <x:v>0.061598</x:v>
      </x:c>
      <x:c r="AI38" s="10" t="n">
        <x:v>0.095389</x:v>
      </x:c>
      <x:c r="AJ38" s="2" t="n">
        <x:v>0</x:v>
      </x:c>
      <x:c r="AK38" s="2" t="n">
        <x:v>0</x:v>
      </x:c>
      <x:c r="AL38" s="2" t="n">
        <x:v>1616</x:v>
      </x:c>
      <x:c r="AM38" s="2" t="n">
        <x:v>70</x:v>
      </x:c>
      <x:c r="AN38" s="12" t="d">
        <x:v>2026-10-20T03:05:24.374Z</x:v>
      </x:c>
    </x:row>
    <x:row r="39" ht="21" customHeight="1">
      <x:c r="A39" s="2" t="str">
        <x:v>primary</x:v>
      </x:c>
      <x:c r="B39" s="2" t="str">
        <x:v>priority_nice_0</x:v>
      </x:c>
      <x:c r="C39" s="2" t="n">
        <x:v>2</x:v>
      </x:c>
      <x:c r="D39" s="2" t="str">
        <x:v>complete</x:v>
      </x:c>
      <x:c r="E39" s="2" t="n">
        <x:v>60</x:v>
      </x:c>
      <x:c r="F39" s="9" t="n">
        <x:v>0</x:v>
      </x:c>
      <x:c r="G39" s="10" t="n">
        <x:v>0.150982</x:v>
      </x:c>
      <x:c r="H39" s="10" t="n">
        <x:v>2.673165</x:v>
      </x:c>
      <x:c r="I39" s="10" t="n">
        <x:v>0</x:v>
      </x:c>
      <x:c r="J39" s="10" t="n">
        <x:v>102.529553</x:v>
      </x:c>
      <x:c r="K39" s="11" t="n">
        <x:v>0</x:v>
      </x:c>
      <x:c r="L39" s="11" t="n">
        <x:v>600</x:v>
      </x:c>
      <x:c r="M39" s="11" t="n">
        <x:v>0</x:v>
      </x:c>
      <x:c r="N39" s="11" t="n">
        <x:v>0</x:v>
      </x:c>
      <x:c r="O39" s="11" t="n">
        <x:v>0</x:v>
      </x:c>
      <x:c r="P39" s="2" t="str">
        <x:v>data</x:v>
      </x:c>
      <x:c r="Q39" s="2" t="str">
        <x:v>periodic</x:v>
      </x:c>
      <x:c r="R39" s="2" t="n">
        <x:v>100</x:v>
      </x:c>
      <x:c r="S39" s="2" t="n">
        <x:v>100</x:v>
      </x:c>
      <x:c r="T39" s="2" t="str">
        <x:v>8</x:v>
      </x:c>
      <x:c r="U39" s="2" t="n">
        <x:v>4</x:v>
      </x:c>
      <x:c r="V39" s="2" t="str">
        <x:v>performance</x:v>
      </x:c>
      <x:c r="W39" s="2" t="n">
        <x:v>0</x:v>
      </x:c>
      <x:c r="X39" s="4" t="b">
        <x:v>1</x:v>
      </x:c>
      <x:c r="Y39" s="4" t="b">
        <x:v>1</x:v>
      </x:c>
      <x:c r="Z39" s="2" t="n">
        <x:v>0</x:v>
      </x:c>
      <x:c r="AA39" s="2" t="str">
        <x:v>boot</x:v>
      </x:c>
      <x:c r="AB39" s="12" t="d">
        <x:v>2026-10-20T03:05:24.375Z</x:v>
      </x:c>
      <x:c r="AC39" s="2" t="str">
        <x:v>main/20261020T024952_526575Z/013_priority_nice_0_r2</x:v>
      </x:c>
      <x:c r="AD39" s="2" t="str">
        <x:v>f9f42bacce48de3308ed4d9c2c7e3e831bc819de1070ad6e69d756bbc5063f4c</x:v>
      </x:c>
      <x:c r="AE39" s="2" t="str">
        <x:v>fc661864e1c5d20e6f3534da91d3eff58e4e483997c3597816e88133ecd7253f</x:v>
      </x:c>
      <x:c r="AF39" s="2"/>
      <x:c r="AG39" s="2"/>
      <x:c r="AH39" s="10" t="n">
        <x:v>2.576189</x:v>
      </x:c>
      <x:c r="AI39" s="10" t="n">
        <x:v>0.111315</x:v>
      </x:c>
      <x:c r="AJ39" s="2" t="n">
        <x:v>0</x:v>
      </x:c>
      <x:c r="AK39" s="2" t="n">
        <x:v>6</x:v>
      </x:c>
      <x:c r="AL39" s="2" t="n">
        <x:v>1616</x:v>
      </x:c>
      <x:c r="AM39" s="2" t="n">
        <x:v>71</x:v>
      </x:c>
      <x:c r="AN39" s="12" t="d">
        <x:v>2026-10-20T03:06:40.483Z</x:v>
      </x:c>
    </x:row>
    <x:row r="40" ht="21" customHeight="1">
      <x:c r="A40" s="2" t="str">
        <x:v>primary</x:v>
      </x:c>
      <x:c r="B40" s="2" t="str">
        <x:v>priority_nice_19</x:v>
      </x:c>
      <x:c r="C40" s="2" t="n">
        <x:v>2</x:v>
      </x:c>
      <x:c r="D40" s="2" t="str">
        <x:v>complete</x:v>
      </x:c>
      <x:c r="E40" s="2" t="n">
        <x:v>60</x:v>
      </x:c>
      <x:c r="F40" s="9" t="n">
        <x:v>0</x:v>
      </x:c>
      <x:c r="G40" s="10" t="n">
        <x:v>2.6757305000000002</x:v>
      </x:c>
      <x:c r="H40" s="10" t="n">
        <x:v>2.703571</x:v>
      </x:c>
      <x:c r="I40" s="10" t="n">
        <x:v>0</x:v>
      </x:c>
      <x:c r="J40" s="10" t="n">
        <x:v>103.990136</x:v>
      </x:c>
      <x:c r="K40" s="11" t="n">
        <x:v>0</x:v>
      </x:c>
      <x:c r="L40" s="11" t="n">
        <x:v>600</x:v>
      </x:c>
      <x:c r="M40" s="11" t="n">
        <x:v>0</x:v>
      </x:c>
      <x:c r="N40" s="11" t="n">
        <x:v>0</x:v>
      </x:c>
      <x:c r="O40" s="11" t="n">
        <x:v>0</x:v>
      </x:c>
      <x:c r="P40" s="2" t="str">
        <x:v>data</x:v>
      </x:c>
      <x:c r="Q40" s="2" t="str">
        <x:v>periodic</x:v>
      </x:c>
      <x:c r="R40" s="2" t="n">
        <x:v>100</x:v>
      </x:c>
      <x:c r="S40" s="2" t="n">
        <x:v>100</x:v>
      </x:c>
      <x:c r="T40" s="2" t="str">
        <x:v>8</x:v>
      </x:c>
      <x:c r="U40" s="2" t="n">
        <x:v>4</x:v>
      </x:c>
      <x:c r="V40" s="2" t="str">
        <x:v>performance</x:v>
      </x:c>
      <x:c r="W40" s="2" t="n">
        <x:v>19</x:v>
      </x:c>
      <x:c r="X40" s="4" t="b">
        <x:v>1</x:v>
      </x:c>
      <x:c r="Y40" s="4" t="b">
        <x:v>1</x:v>
      </x:c>
      <x:c r="Z40" s="2" t="n">
        <x:v>0</x:v>
      </x:c>
      <x:c r="AA40" s="2" t="str">
        <x:v>boot</x:v>
      </x:c>
      <x:c r="AB40" s="12" t="d">
        <x:v>2026-10-20T03:06:40.484Z</x:v>
      </x:c>
      <x:c r="AC40" s="2" t="str">
        <x:v>main/20261020T024952_526575Z/014_priority_nice_19_r2</x:v>
      </x:c>
      <x:c r="AD40" s="2" t="str">
        <x:v>f9f42bacce48de3308ed4d9c2c7e3e831bc819de1070ad6e69d756bbc5063f4c</x:v>
      </x:c>
      <x:c r="AE40" s="2" t="str">
        <x:v>fc661864e1c5d20e6f3534da91d3eff58e4e483997c3597816e88133ecd7253f</x:v>
      </x:c>
      <x:c r="AF40" s="2"/>
      <x:c r="AG40" s="2"/>
      <x:c r="AH40" s="10" t="n">
        <x:v>2.602206</x:v>
      </x:c>
      <x:c r="AI40" s="10" t="n">
        <x:v>0.123408</x:v>
      </x:c>
      <x:c r="AJ40" s="2" t="n">
        <x:v>0</x:v>
      </x:c>
      <x:c r="AK40" s="2" t="n">
        <x:v>16</x:v>
      </x:c>
      <x:c r="AL40" s="2" t="n">
        <x:v>1616</x:v>
      </x:c>
      <x:c r="AM40" s="2" t="n">
        <x:v>70</x:v>
      </x:c>
      <x:c r="AN40" s="12" t="d">
        <x:v>2026-10-20T03:07:56.589Z</x:v>
      </x:c>
    </x:row>
    <x:row r="41" ht="21" customHeight="1">
      <x:c r="A41" s="2" t="str">
        <x:v>primary</x:v>
      </x:c>
      <x:c r="B41" s="2" t="str">
        <x:v>network_rx_50M</x:v>
      </x:c>
      <x:c r="C41" s="2" t="n">
        <x:v>2</x:v>
      </x:c>
      <x:c r="D41" s="2" t="str">
        <x:v>complete</x:v>
      </x:c>
      <x:c r="E41" s="2" t="n">
        <x:v>60</x:v>
      </x:c>
      <x:c r="F41" s="9" t="n">
        <x:v>0</x:v>
      </x:c>
      <x:c r="G41" s="10" t="n">
        <x:v>0.1417745</x:v>
      </x:c>
      <x:c r="H41" s="10" t="n">
        <x:v>0.161416</x:v>
      </x:c>
      <x:c r="I41" s="10" t="n">
        <x:v>0</x:v>
      </x:c>
      <x:c r="J41" s="10" t="n">
        <x:v>100.061917</x:v>
      </x:c>
      <x:c r="K41" s="11" t="n">
        <x:v>0</x:v>
      </x:c>
      <x:c r="L41" s="11" t="n">
        <x:v>600</x:v>
      </x:c>
      <x:c r="M41" s="11" t="n">
        <x:v>0</x:v>
      </x:c>
      <x:c r="N41" s="11" t="n">
        <x:v>0</x:v>
      </x:c>
      <x:c r="O41" s="11" t="n">
        <x:v>0</x:v>
      </x:c>
      <x:c r="P41" s="2" t="str">
        <x:v>data</x:v>
      </x:c>
      <x:c r="Q41" s="2" t="str">
        <x:v>periodic</x:v>
      </x:c>
      <x:c r="R41" s="2" t="n">
        <x:v>100</x:v>
      </x:c>
      <x:c r="S41" s="2" t="n">
        <x:v>100</x:v>
      </x:c>
      <x:c r="T41" s="2" t="str">
        <x:v>8</x:v>
      </x:c>
      <x:c r="U41" s="2" t="n">
        <x:v>4</x:v>
      </x:c>
      <x:c r="V41" s="2" t="str">
        <x:v>performance</x:v>
      </x:c>
      <x:c r="W41" s="2" t="n">
        <x:v>0</x:v>
      </x:c>
      <x:c r="X41" s="4" t="b">
        <x:v>0</x:v>
      </x:c>
      <x:c r="Y41" s="4" t="b">
        <x:v>0</x:v>
      </x:c>
      <x:c r="Z41" s="2" t="n">
        <x:v>50</x:v>
      </x:c>
      <x:c r="AA41" s="2" t="str">
        <x:v>boot</x:v>
      </x:c>
      <x:c r="AB41" s="12" t="d">
        <x:v>2026-10-20T03:07:56.590Z</x:v>
      </x:c>
      <x:c r="AC41" s="2" t="str">
        <x:v>main/20261020T024952_526575Z/015_network_rx_50M_r2</x:v>
      </x:c>
      <x:c r="AD41" s="2" t="str">
        <x:v>f9f42bacce48de3308ed4d9c2c7e3e831bc819de1070ad6e69d756bbc5063f4c</x:v>
      </x:c>
      <x:c r="AE41" s="2" t="str">
        <x:v>fc661864e1c5d20e6f3534da91d3eff58e4e483997c3597816e88133ecd7253f</x:v>
      </x:c>
      <x:c r="AF41" s="2"/>
      <x:c r="AG41" s="2"/>
      <x:c r="AH41" s="10" t="n">
        <x:v>0.061508</x:v>
      </x:c>
      <x:c r="AI41" s="10" t="n">
        <x:v>0.100389</x:v>
      </x:c>
      <x:c r="AJ41" s="2" t="n">
        <x:v>0</x:v>
      </x:c>
      <x:c r="AK41" s="2" t="n">
        <x:v>1</x:v>
      </x:c>
      <x:c r="AL41" s="2" t="n">
        <x:v>1104</x:v>
      </x:c>
      <x:c r="AM41" s="2" t="n">
        <x:v>71</x:v>
      </x:c>
      <x:c r="AN41" s="12" t="d">
        <x:v>2026-10-20T03:09:21.747Z</x:v>
      </x:c>
    </x:row>
    <x:row r="42" ht="21" customHeight="1">
      <x:c r="A42" s="2" t="str">
        <x:v>primary</x:v>
      </x:c>
      <x:c r="B42" s="2" t="str">
        <x:v>priority_nice_-10</x:v>
      </x:c>
      <x:c r="C42" s="2" t="n">
        <x:v>2</x:v>
      </x:c>
      <x:c r="D42" s="2" t="str">
        <x:v>complete</x:v>
      </x:c>
      <x:c r="E42" s="2" t="n">
        <x:v>60</x:v>
      </x:c>
      <x:c r="F42" s="9" t="n">
        <x:v>0</x:v>
      </x:c>
      <x:c r="G42" s="10" t="n">
        <x:v>0.1509</x:v>
      </x:c>
      <x:c r="H42" s="10" t="n">
        <x:v>0.18041</x:v>
      </x:c>
      <x:c r="I42" s="10" t="n">
        <x:v>0</x:v>
      </x:c>
      <x:c r="J42" s="10" t="n">
        <x:v>102.496611</x:v>
      </x:c>
      <x:c r="K42" s="11" t="n">
        <x:v>0</x:v>
      </x:c>
      <x:c r="L42" s="11" t="n">
        <x:v>600</x:v>
      </x:c>
      <x:c r="M42" s="11" t="n">
        <x:v>0</x:v>
      </x:c>
      <x:c r="N42" s="11" t="n">
        <x:v>0</x:v>
      </x:c>
      <x:c r="O42" s="11" t="n">
        <x:v>0</x:v>
      </x:c>
      <x:c r="P42" s="2" t="str">
        <x:v>data</x:v>
      </x:c>
      <x:c r="Q42" s="2" t="str">
        <x:v>periodic</x:v>
      </x:c>
      <x:c r="R42" s="2" t="n">
        <x:v>100</x:v>
      </x:c>
      <x:c r="S42" s="2" t="n">
        <x:v>100</x:v>
      </x:c>
      <x:c r="T42" s="2" t="str">
        <x:v>8</x:v>
      </x:c>
      <x:c r="U42" s="2" t="n">
        <x:v>4</x:v>
      </x:c>
      <x:c r="V42" s="2" t="str">
        <x:v>performance</x:v>
      </x:c>
      <x:c r="W42" s="2" t="n">
        <x:v>-10</x:v>
      </x:c>
      <x:c r="X42" s="4" t="b">
        <x:v>1</x:v>
      </x:c>
      <x:c r="Y42" s="4" t="b">
        <x:v>1</x:v>
      </x:c>
      <x:c r="Z42" s="2" t="n">
        <x:v>0</x:v>
      </x:c>
      <x:c r="AA42" s="2" t="str">
        <x:v>boot</x:v>
      </x:c>
      <x:c r="AB42" s="12" t="d">
        <x:v>2026-10-20T03:09:21.749Z</x:v>
      </x:c>
      <x:c r="AC42" s="2" t="str">
        <x:v>main/20261020T024952_526575Z/016_priority_nice_-10_r2</x:v>
      </x:c>
      <x:c r="AD42" s="2" t="str">
        <x:v>f9f42bacce48de3308ed4d9c2c7e3e831bc819de1070ad6e69d756bbc5063f4c</x:v>
      </x:c>
      <x:c r="AE42" s="2" t="str">
        <x:v>fc661864e1c5d20e6f3534da91d3eff58e4e483997c3597816e88133ecd7253f</x:v>
      </x:c>
      <x:c r="AF42" s="2"/>
      <x:c r="AG42" s="2"/>
      <x:c r="AH42" s="10" t="n">
        <x:v>0.064283</x:v>
      </x:c>
      <x:c r="AI42" s="10" t="n">
        <x:v>0.115593</x:v>
      </x:c>
      <x:c r="AJ42" s="2" t="n">
        <x:v>0</x:v>
      </x:c>
      <x:c r="AK42" s="2" t="n">
        <x:v>1</x:v>
      </x:c>
      <x:c r="AL42" s="2" t="n">
        <x:v>1600</x:v>
      </x:c>
      <x:c r="AM42" s="2" t="n">
        <x:v>71</x:v>
      </x:c>
      <x:c r="AN42" s="12" t="d">
        <x:v>2026-10-20T03:10:37.860Z</x:v>
      </x:c>
    </x:row>
    <x:row r="43" ht="21" customHeight="1">
      <x:c r="A43" s="2" t="str">
        <x:v>primary</x:v>
      </x:c>
      <x:c r="B43" s="2" t="str">
        <x:v>governor_powersave</x:v>
      </x:c>
      <x:c r="C43" s="2" t="n">
        <x:v>2</x:v>
      </x:c>
      <x:c r="D43" s="2" t="str">
        <x:v>complete</x:v>
      </x:c>
      <x:c r="E43" s="2" t="n">
        <x:v>60</x:v>
      </x:c>
      <x:c r="F43" s="9" t="n">
        <x:v>0</x:v>
      </x:c>
      <x:c r="G43" s="10" t="n">
        <x:v>0.1579685</x:v>
      </x:c>
      <x:c r="H43" s="10" t="n">
        <x:v>0.186885</x:v>
      </x:c>
      <x:c r="I43" s="10" t="n">
        <x:v>0</x:v>
      </x:c>
      <x:c r="J43" s="10" t="n">
        <x:v>102.496544</x:v>
      </x:c>
      <x:c r="K43" s="11" t="n">
        <x:v>0</x:v>
      </x:c>
      <x:c r="L43" s="11" t="n">
        <x:v>600</x:v>
      </x:c>
      <x:c r="M43" s="11" t="n">
        <x:v>0</x:v>
      </x:c>
      <x:c r="N43" s="11" t="n">
        <x:v>0</x:v>
      </x:c>
      <x:c r="O43" s="11" t="n">
        <x:v>0</x:v>
      </x:c>
      <x:c r="P43" s="2" t="str">
        <x:v>data</x:v>
      </x:c>
      <x:c r="Q43" s="2" t="str">
        <x:v>periodic</x:v>
      </x:c>
      <x:c r="R43" s="2" t="n">
        <x:v>100</x:v>
      </x:c>
      <x:c r="S43" s="2" t="n">
        <x:v>100</x:v>
      </x:c>
      <x:c r="T43" s="2" t="str">
        <x:v>8</x:v>
      </x:c>
      <x:c r="U43" s="2" t="n">
        <x:v>4</x:v>
      </x:c>
      <x:c r="V43" s="2" t="str">
        <x:v>powersave</x:v>
      </x:c>
      <x:c r="W43" s="2" t="n">
        <x:v>0</x:v>
      </x:c>
      <x:c r="X43" s="4" t="b">
        <x:v>0</x:v>
      </x:c>
      <x:c r="Y43" s="4" t="b">
        <x:v>0</x:v>
      </x:c>
      <x:c r="Z43" s="2" t="n">
        <x:v>0</x:v>
      </x:c>
      <x:c r="AA43" s="2" t="str">
        <x:v>boot</x:v>
      </x:c>
      <x:c r="AB43" s="12" t="d">
        <x:v>2026-10-20T03:10:37.860Z</x:v>
      </x:c>
      <x:c r="AC43" s="2" t="str">
        <x:v>main/20261020T024952_526575Z/017_governor_powersave_r2</x:v>
      </x:c>
      <x:c r="AD43" s="2" t="str">
        <x:v>f9f42bacce48de3308ed4d9c2c7e3e831bc819de1070ad6e69d756bbc5063f4c</x:v>
      </x:c>
      <x:c r="AE43" s="2" t="str">
        <x:v>fc661864e1c5d20e6f3534da91d3eff58e4e483997c3597816e88133ecd7253f</x:v>
      </x:c>
      <x:c r="AF43" s="2"/>
      <x:c r="AG43" s="2"/>
      <x:c r="AH43" s="10" t="n">
        <x:v>0.065857</x:v>
      </x:c>
      <x:c r="AI43" s="10" t="n">
        <x:v>0.122833</x:v>
      </x:c>
      <x:c r="AJ43" s="2" t="n">
        <x:v>0</x:v>
      </x:c>
      <x:c r="AK43" s="2" t="n">
        <x:v>0</x:v>
      </x:c>
      <x:c r="AL43" s="2" t="n">
        <x:v>1104</x:v>
      </x:c>
      <x:c r="AM43" s="2" t="n">
        <x:v>72</x:v>
      </x:c>
      <x:c r="AN43" s="12" t="d">
        <x:v>2026-10-20T03:11:53.972Z</x:v>
      </x:c>
    </x:row>
    <x:row r="44" ht="21" customHeight="1">
      <x:c r="A44" s="2" t="str">
        <x:v>primary</x:v>
      </x:c>
      <x:c r="B44" s="2" t="str">
        <x:v>governor_ondemand</x:v>
      </x:c>
      <x:c r="C44" s="2" t="n">
        <x:v>2</x:v>
      </x:c>
      <x:c r="D44" s="2" t="str">
        <x:v>complete</x:v>
      </x:c>
      <x:c r="E44" s="2" t="n">
        <x:v>60</x:v>
      </x:c>
      <x:c r="F44" s="9" t="n">
        <x:v>0</x:v>
      </x:c>
      <x:c r="G44" s="10" t="n">
        <x:v>0.1627445</x:v>
      </x:c>
      <x:c r="H44" s="10" t="n">
        <x:v>0.191256</x:v>
      </x:c>
      <x:c r="I44" s="10" t="n">
        <x:v>0</x:v>
      </x:c>
      <x:c r="J44" s="10" t="n">
        <x:v>100.051121</x:v>
      </x:c>
      <x:c r="K44" s="11" t="n">
        <x:v>0</x:v>
      </x:c>
      <x:c r="L44" s="11" t="n">
        <x:v>600</x:v>
      </x:c>
      <x:c r="M44" s="11" t="n">
        <x:v>0</x:v>
      </x:c>
      <x:c r="N44" s="11" t="n">
        <x:v>0</x:v>
      </x:c>
      <x:c r="O44" s="11" t="n">
        <x:v>0</x:v>
      </x:c>
      <x:c r="P44" s="2" t="str">
        <x:v>data</x:v>
      </x:c>
      <x:c r="Q44" s="2" t="str">
        <x:v>periodic</x:v>
      </x:c>
      <x:c r="R44" s="2" t="n">
        <x:v>100</x:v>
      </x:c>
      <x:c r="S44" s="2" t="n">
        <x:v>100</x:v>
      </x:c>
      <x:c r="T44" s="2" t="str">
        <x:v>8</x:v>
      </x:c>
      <x:c r="U44" s="2" t="n">
        <x:v>4</x:v>
      </x:c>
      <x:c r="V44" s="2" t="str">
        <x:v>ondemand</x:v>
      </x:c>
      <x:c r="W44" s="2" t="n">
        <x:v>0</x:v>
      </x:c>
      <x:c r="X44" s="4" t="b">
        <x:v>0</x:v>
      </x:c>
      <x:c r="Y44" s="4" t="b">
        <x:v>0</x:v>
      </x:c>
      <x:c r="Z44" s="2" t="n">
        <x:v>0</x:v>
      </x:c>
      <x:c r="AA44" s="2" t="str">
        <x:v>boot</x:v>
      </x:c>
      <x:c r="AB44" s="12" t="d">
        <x:v>2026-10-20T03:11:53.974Z</x:v>
      </x:c>
      <x:c r="AC44" s="2" t="str">
        <x:v>main/20261020T024952_526575Z/018_governor_ondemand_r2</x:v>
      </x:c>
      <x:c r="AD44" s="2" t="str">
        <x:v>f9f42bacce48de3308ed4d9c2c7e3e831bc819de1070ad6e69d756bbc5063f4c</x:v>
      </x:c>
      <x:c r="AE44" s="2" t="str">
        <x:v>fc661864e1c5d20e6f3534da91d3eff58e4e483997c3597816e88133ecd7253f</x:v>
      </x:c>
      <x:c r="AF44" s="2"/>
      <x:c r="AG44" s="2"/>
      <x:c r="AH44" s="10" t="n">
        <x:v>0.074817</x:v>
      </x:c>
      <x:c r="AI44" s="10" t="n">
        <x:v>0.121297</x:v>
      </x:c>
      <x:c r="AJ44" s="2" t="n">
        <x:v>0</x:v>
      </x:c>
      <x:c r="AK44" s="2" t="n">
        <x:v>0</x:v>
      </x:c>
      <x:c r="AL44" s="2" t="n">
        <x:v>1104</x:v>
      </x:c>
      <x:c r="AM44" s="2" t="n">
        <x:v>72</x:v>
      </x:c>
      <x:c r="AN44" s="12" t="d">
        <x:v>2026-10-20T03:13:10.066Z</x:v>
      </x:c>
    </x:row>
    <x:row r="45" ht="21" customHeight="1">
      <x:c r="A45" s="2" t="str">
        <x:v>primary</x:v>
      </x:c>
      <x:c r="B45" s="2" t="str">
        <x:v>network_rx_10M</x:v>
      </x:c>
      <x:c r="C45" s="2" t="n">
        <x:v>2</x:v>
      </x:c>
      <x:c r="D45" s="2" t="str">
        <x:v>complete</x:v>
      </x:c>
      <x:c r="E45" s="2" t="n">
        <x:v>60</x:v>
      </x:c>
      <x:c r="F45" s="9" t="n">
        <x:v>0</x:v>
      </x:c>
      <x:c r="G45" s="10" t="n">
        <x:v>0.13775700000000002</x:v>
      </x:c>
      <x:c r="H45" s="10" t="n">
        <x:v>0.158153</x:v>
      </x:c>
      <x:c r="I45" s="10" t="n">
        <x:v>0</x:v>
      </x:c>
      <x:c r="J45" s="10" t="n">
        <x:v>100.047874</x:v>
      </x:c>
      <x:c r="K45" s="11" t="n">
        <x:v>0</x:v>
      </x:c>
      <x:c r="L45" s="11" t="n">
        <x:v>600</x:v>
      </x:c>
      <x:c r="M45" s="11" t="n">
        <x:v>0</x:v>
      </x:c>
      <x:c r="N45" s="11" t="n">
        <x:v>0</x:v>
      </x:c>
      <x:c r="O45" s="11" t="n">
        <x:v>0</x:v>
      </x:c>
      <x:c r="P45" s="2" t="str">
        <x:v>data</x:v>
      </x:c>
      <x:c r="Q45" s="2" t="str">
        <x:v>periodic</x:v>
      </x:c>
      <x:c r="R45" s="2" t="n">
        <x:v>100</x:v>
      </x:c>
      <x:c r="S45" s="2" t="n">
        <x:v>100</x:v>
      </x:c>
      <x:c r="T45" s="2" t="str">
        <x:v>8</x:v>
      </x:c>
      <x:c r="U45" s="2" t="n">
        <x:v>4</x:v>
      </x:c>
      <x:c r="V45" s="2" t="str">
        <x:v>performance</x:v>
      </x:c>
      <x:c r="W45" s="2" t="n">
        <x:v>0</x:v>
      </x:c>
      <x:c r="X45" s="4" t="b">
        <x:v>0</x:v>
      </x:c>
      <x:c r="Y45" s="4" t="b">
        <x:v>0</x:v>
      </x:c>
      <x:c r="Z45" s="2" t="n">
        <x:v>10</x:v>
      </x:c>
      <x:c r="AA45" s="2" t="str">
        <x:v>boot</x:v>
      </x:c>
      <x:c r="AB45" s="12" t="d">
        <x:v>2026-10-20T03:13:10.067Z</x:v>
      </x:c>
      <x:c r="AC45" s="2" t="str">
        <x:v>main/20261020T024952_526575Z/019_network_rx_10M_r2</x:v>
      </x:c>
      <x:c r="AD45" s="2" t="str">
        <x:v>f9f42bacce48de3308ed4d9c2c7e3e831bc819de1070ad6e69d756bbc5063f4c</x:v>
      </x:c>
      <x:c r="AE45" s="2" t="str">
        <x:v>fc661864e1c5d20e6f3534da91d3eff58e4e483997c3597816e88133ecd7253f</x:v>
      </x:c>
      <x:c r="AF45" s="2"/>
      <x:c r="AG45" s="2"/>
      <x:c r="AH45" s="10" t="n">
        <x:v>0.06169</x:v>
      </x:c>
      <x:c r="AI45" s="10" t="n">
        <x:v>0.097927</x:v>
      </x:c>
      <x:c r="AJ45" s="2" t="n">
        <x:v>0</x:v>
      </x:c>
      <x:c r="AK45" s="2" t="n">
        <x:v>1</x:v>
      </x:c>
      <x:c r="AL45" s="2" t="n">
        <x:v>1616</x:v>
      </x:c>
      <x:c r="AM45" s="2" t="n">
        <x:v>71</x:v>
      </x:c>
      <x:c r="AN45" s="12" t="d">
        <x:v>2026-10-20T03:14:36.289Z</x:v>
      </x:c>
    </x:row>
    <x:row r="46" ht="21" customHeight="1">
      <x:c r="A46" s="2" t="str">
        <x:v>primary</x:v>
      </x:c>
      <x:c r="B46" s="2" t="str">
        <x:v>priority_nice_10</x:v>
      </x:c>
      <x:c r="C46" s="2" t="n">
        <x:v>2</x:v>
      </x:c>
      <x:c r="D46" s="2" t="str">
        <x:v>complete</x:v>
      </x:c>
      <x:c r="E46" s="2" t="n">
        <x:v>60</x:v>
      </x:c>
      <x:c r="F46" s="9" t="n">
        <x:v>0</x:v>
      </x:c>
      <x:c r="G46" s="10" t="n">
        <x:v>0.15818900000000002</x:v>
      </x:c>
      <x:c r="H46" s="10" t="n">
        <x:v>3.617209</x:v>
      </x:c>
      <x:c r="I46" s="10" t="n">
        <x:v>0</x:v>
      </x:c>
      <x:c r="J46" s="10" t="n">
        <x:v>103.48382</x:v>
      </x:c>
      <x:c r="K46" s="11" t="n">
        <x:v>0</x:v>
      </x:c>
      <x:c r="L46" s="11" t="n">
        <x:v>600</x:v>
      </x:c>
      <x:c r="M46" s="11" t="n">
        <x:v>0</x:v>
      </x:c>
      <x:c r="N46" s="11" t="n">
        <x:v>0</x:v>
      </x:c>
      <x:c r="O46" s="11" t="n">
        <x:v>0</x:v>
      </x:c>
      <x:c r="P46" s="2" t="str">
        <x:v>data</x:v>
      </x:c>
      <x:c r="Q46" s="2" t="str">
        <x:v>periodic</x:v>
      </x:c>
      <x:c r="R46" s="2" t="n">
        <x:v>100</x:v>
      </x:c>
      <x:c r="S46" s="2" t="n">
        <x:v>100</x:v>
      </x:c>
      <x:c r="T46" s="2" t="str">
        <x:v>8</x:v>
      </x:c>
      <x:c r="U46" s="2" t="n">
        <x:v>4</x:v>
      </x:c>
      <x:c r="V46" s="2" t="str">
        <x:v>performance</x:v>
      </x:c>
      <x:c r="W46" s="2" t="n">
        <x:v>10</x:v>
      </x:c>
      <x:c r="X46" s="4" t="b">
        <x:v>1</x:v>
      </x:c>
      <x:c r="Y46" s="4" t="b">
        <x:v>1</x:v>
      </x:c>
      <x:c r="Z46" s="2" t="n">
        <x:v>0</x:v>
      </x:c>
      <x:c r="AA46" s="2" t="str">
        <x:v>boot</x:v>
      </x:c>
      <x:c r="AB46" s="12" t="d">
        <x:v>2026-10-20T03:14:36.290Z</x:v>
      </x:c>
      <x:c r="AC46" s="2" t="str">
        <x:v>main/20261020T024952_526575Z/020_priority_nice_10_r2</x:v>
      </x:c>
      <x:c r="AD46" s="2" t="str">
        <x:v>f9f42bacce48de3308ed4d9c2c7e3e831bc819de1070ad6e69d756bbc5063f4c</x:v>
      </x:c>
      <x:c r="AE46" s="2" t="str">
        <x:v>fc661864e1c5d20e6f3534da91d3eff58e4e483997c3597816e88133ecd7253f</x:v>
      </x:c>
      <x:c r="AF46" s="2"/>
      <x:c r="AG46" s="2"/>
      <x:c r="AH46" s="10" t="n">
        <x:v>3.509581</x:v>
      </x:c>
      <x:c r="AI46" s="10" t="n">
        <x:v>0.12139</x:v>
      </x:c>
      <x:c r="AJ46" s="2" t="n">
        <x:v>0</x:v>
      </x:c>
      <x:c r="AK46" s="2" t="n">
        <x:v>11</x:v>
      </x:c>
      <x:c r="AL46" s="2" t="n">
        <x:v>1616</x:v>
      </x:c>
      <x:c r="AM46" s="2" t="n">
        <x:v>72</x:v>
      </x:c>
      <x:c r="AN46" s="12" t="d">
        <x:v>2026-10-20T03:15:52.392Z</x:v>
      </x:c>
    </x:row>
    <x:row r="47" ht="21" customHeight="1">
      <x:c r="A47" s="2" t="str">
        <x:v>primary</x:v>
      </x:c>
      <x:c r="B47" s="2" t="str">
        <x:v>priority_nice_0</x:v>
      </x:c>
      <x:c r="C47" s="2" t="n">
        <x:v>3</x:v>
      </x:c>
      <x:c r="D47" s="2" t="str">
        <x:v>complete</x:v>
      </x:c>
      <x:c r="E47" s="2" t="n">
        <x:v>60</x:v>
      </x:c>
      <x:c r="F47" s="9" t="n">
        <x:v>0</x:v>
      </x:c>
      <x:c r="G47" s="10" t="n">
        <x:v>0.1508815</x:v>
      </x:c>
      <x:c r="H47" s="10" t="n">
        <x:v>2.565668</x:v>
      </x:c>
      <x:c r="I47" s="10" t="n">
        <x:v>0</x:v>
      </x:c>
      <x:c r="J47" s="10" t="n">
        <x:v>102.42419</x:v>
      </x:c>
      <x:c r="K47" s="11" t="n">
        <x:v>0</x:v>
      </x:c>
      <x:c r="L47" s="11" t="n">
        <x:v>600</x:v>
      </x:c>
      <x:c r="M47" s="11" t="n">
        <x:v>0</x:v>
      </x:c>
      <x:c r="N47" s="11" t="n">
        <x:v>0</x:v>
      </x:c>
      <x:c r="O47" s="11" t="n">
        <x:v>0</x:v>
      </x:c>
      <x:c r="P47" s="2" t="str">
        <x:v>data</x:v>
      </x:c>
      <x:c r="Q47" s="2" t="str">
        <x:v>periodic</x:v>
      </x:c>
      <x:c r="R47" s="2" t="n">
        <x:v>100</x:v>
      </x:c>
      <x:c r="S47" s="2" t="n">
        <x:v>100</x:v>
      </x:c>
      <x:c r="T47" s="2" t="str">
        <x:v>8</x:v>
      </x:c>
      <x:c r="U47" s="2" t="n">
        <x:v>4</x:v>
      </x:c>
      <x:c r="V47" s="2" t="str">
        <x:v>performance</x:v>
      </x:c>
      <x:c r="W47" s="2" t="n">
        <x:v>0</x:v>
      </x:c>
      <x:c r="X47" s="4" t="b">
        <x:v>1</x:v>
      </x:c>
      <x:c r="Y47" s="4" t="b">
        <x:v>1</x:v>
      </x:c>
      <x:c r="Z47" s="2" t="n">
        <x:v>0</x:v>
      </x:c>
      <x:c r="AA47" s="2" t="str">
        <x:v>boot</x:v>
      </x:c>
      <x:c r="AB47" s="12" t="d">
        <x:v>2026-10-20T03:15:52.393Z</x:v>
      </x:c>
      <x:c r="AC47" s="2" t="str">
        <x:v>main/20261020T024952_526575Z/021_priority_nice_0_r3</x:v>
      </x:c>
      <x:c r="AD47" s="2" t="str">
        <x:v>f9f42bacce48de3308ed4d9c2c7e3e831bc819de1070ad6e69d756bbc5063f4c</x:v>
      </x:c>
      <x:c r="AE47" s="2" t="str">
        <x:v>fc661864e1c5d20e6f3534da91d3eff58e4e483997c3597816e88133ecd7253f</x:v>
      </x:c>
      <x:c r="AF47" s="2"/>
      <x:c r="AG47" s="2"/>
      <x:c r="AH47" s="10" t="n">
        <x:v>2.470455</x:v>
      </x:c>
      <x:c r="AI47" s="10" t="n">
        <x:v>0.111389</x:v>
      </x:c>
      <x:c r="AJ47" s="2" t="n">
        <x:v>0</x:v>
      </x:c>
      <x:c r="AK47" s="2" t="n">
        <x:v>1</x:v>
      </x:c>
      <x:c r="AL47" s="2" t="n">
        <x:v>1600</x:v>
      </x:c>
      <x:c r="AM47" s="2" t="n">
        <x:v>71</x:v>
      </x:c>
      <x:c r="AN47" s="12" t="d">
        <x:v>2026-10-20T03:17:08.498Z</x:v>
      </x:c>
    </x:row>
    <x:row r="48" ht="21" customHeight="1">
      <x:c r="A48" s="2" t="str">
        <x:v>primary</x:v>
      </x:c>
      <x:c r="B48" s="2" t="str">
        <x:v>priority_nice_10</x:v>
      </x:c>
      <x:c r="C48" s="2" t="n">
        <x:v>3</x:v>
      </x:c>
      <x:c r="D48" s="2" t="str">
        <x:v>complete</x:v>
      </x:c>
      <x:c r="E48" s="2" t="n">
        <x:v>60</x:v>
      </x:c>
      <x:c r="F48" s="9" t="n">
        <x:v>0</x:v>
      </x:c>
      <x:c r="G48" s="10" t="n">
        <x:v>0.1563545</x:v>
      </x:c>
      <x:c r="H48" s="10" t="n">
        <x:v>2.670888</x:v>
      </x:c>
      <x:c r="I48" s="10" t="n">
        <x:v>0</x:v>
      </x:c>
      <x:c r="J48" s="10" t="n">
        <x:v>102.536728</x:v>
      </x:c>
      <x:c r="K48" s="11" t="n">
        <x:v>0</x:v>
      </x:c>
      <x:c r="L48" s="11" t="n">
        <x:v>600</x:v>
      </x:c>
      <x:c r="M48" s="11" t="n">
        <x:v>0</x:v>
      </x:c>
      <x:c r="N48" s="11" t="n">
        <x:v>0</x:v>
      </x:c>
      <x:c r="O48" s="11" t="n">
        <x:v>0</x:v>
      </x:c>
      <x:c r="P48" s="2" t="str">
        <x:v>data</x:v>
      </x:c>
      <x:c r="Q48" s="2" t="str">
        <x:v>periodic</x:v>
      </x:c>
      <x:c r="R48" s="2" t="n">
        <x:v>100</x:v>
      </x:c>
      <x:c r="S48" s="2" t="n">
        <x:v>100</x:v>
      </x:c>
      <x:c r="T48" s="2" t="str">
        <x:v>8</x:v>
      </x:c>
      <x:c r="U48" s="2" t="n">
        <x:v>4</x:v>
      </x:c>
      <x:c r="V48" s="2" t="str">
        <x:v>performance</x:v>
      </x:c>
      <x:c r="W48" s="2" t="n">
        <x:v>10</x:v>
      </x:c>
      <x:c r="X48" s="4" t="b">
        <x:v>1</x:v>
      </x:c>
      <x:c r="Y48" s="4" t="b">
        <x:v>1</x:v>
      </x:c>
      <x:c r="Z48" s="2" t="n">
        <x:v>0</x:v>
      </x:c>
      <x:c r="AA48" s="2" t="str">
        <x:v>boot</x:v>
      </x:c>
      <x:c r="AB48" s="12" t="d">
        <x:v>2026-10-20T03:17:08.499Z</x:v>
      </x:c>
      <x:c r="AC48" s="2" t="str">
        <x:v>main/20261020T024952_526575Z/022_priority_nice_10_r3</x:v>
      </x:c>
      <x:c r="AD48" s="2" t="str">
        <x:v>f9f42bacce48de3308ed4d9c2c7e3e831bc819de1070ad6e69d756bbc5063f4c</x:v>
      </x:c>
      <x:c r="AE48" s="2" t="str">
        <x:v>fc661864e1c5d20e6f3534da91d3eff58e4e483997c3597816e88133ecd7253f</x:v>
      </x:c>
      <x:c r="AF48" s="2"/>
      <x:c r="AG48" s="2"/>
      <x:c r="AH48" s="10" t="n">
        <x:v>2.567704</x:v>
      </x:c>
      <x:c r="AI48" s="10" t="n">
        <x:v>0.118372</x:v>
      </x:c>
      <x:c r="AJ48" s="2" t="n">
        <x:v>0</x:v>
      </x:c>
      <x:c r="AK48" s="2" t="n">
        <x:v>9</x:v>
      </x:c>
      <x:c r="AL48" s="2" t="n">
        <x:v>1600</x:v>
      </x:c>
      <x:c r="AM48" s="2" t="n">
        <x:v>70</x:v>
      </x:c>
      <x:c r="AN48" s="12" t="d">
        <x:v>2026-10-20T03:18:24.611Z</x:v>
      </x:c>
    </x:row>
    <x:row r="49" ht="21" customHeight="1">
      <x:c r="A49" s="2" t="str">
        <x:v>primary</x:v>
      </x:c>
      <x:c r="B49" s="2" t="str">
        <x:v>priority_quiet</x:v>
      </x:c>
      <x:c r="C49" s="2" t="n">
        <x:v>3</x:v>
      </x:c>
      <x:c r="D49" s="2" t="str">
        <x:v>complete</x:v>
      </x:c>
      <x:c r="E49" s="2" t="n">
        <x:v>60</x:v>
      </x:c>
      <x:c r="F49" s="9" t="n">
        <x:v>0</x:v>
      </x:c>
      <x:c r="G49" s="10" t="n">
        <x:v>0.1370805</x:v>
      </x:c>
      <x:c r="H49" s="10" t="n">
        <x:v>0.162156</x:v>
      </x:c>
      <x:c r="I49" s="10" t="n">
        <x:v>0</x:v>
      </x:c>
      <x:c r="J49" s="10" t="n">
        <x:v>100.072808</x:v>
      </x:c>
      <x:c r="K49" s="11" t="n">
        <x:v>0</x:v>
      </x:c>
      <x:c r="L49" s="11" t="n">
        <x:v>600</x:v>
      </x:c>
      <x:c r="M49" s="11" t="n">
        <x:v>0</x:v>
      </x:c>
      <x:c r="N49" s="11" t="n">
        <x:v>0</x:v>
      </x:c>
      <x:c r="O49" s="11" t="n">
        <x:v>0</x:v>
      </x:c>
      <x:c r="P49" s="2" t="str">
        <x:v>data</x:v>
      </x:c>
      <x:c r="Q49" s="2" t="str">
        <x:v>periodic</x:v>
      </x:c>
      <x:c r="R49" s="2" t="n">
        <x:v>100</x:v>
      </x:c>
      <x:c r="S49" s="2" t="n">
        <x:v>100</x:v>
      </x:c>
      <x:c r="T49" s="2" t="str">
        <x:v>8</x:v>
      </x:c>
      <x:c r="U49" s="2" t="n">
        <x:v>4</x:v>
      </x:c>
      <x:c r="V49" s="2" t="str">
        <x:v>performance</x:v>
      </x:c>
      <x:c r="W49" s="2" t="n">
        <x:v>0</x:v>
      </x:c>
      <x:c r="X49" s="4" t="b">
        <x:v>1</x:v>
      </x:c>
      <x:c r="Y49" s="4" t="b">
        <x:v>0</x:v>
      </x:c>
      <x:c r="Z49" s="2" t="n">
        <x:v>0</x:v>
      </x:c>
      <x:c r="AA49" s="2" t="str">
        <x:v>boot</x:v>
      </x:c>
      <x:c r="AB49" s="12" t="d">
        <x:v>2026-10-20T03:18:24.613Z</x:v>
      </x:c>
      <x:c r="AC49" s="2" t="str">
        <x:v>main/20261020T024952_526575Z/023_priority_quiet_r3</x:v>
      </x:c>
      <x:c r="AD49" s="2" t="str">
        <x:v>f9f42bacce48de3308ed4d9c2c7e3e831bc819de1070ad6e69d756bbc5063f4c</x:v>
      </x:c>
      <x:c r="AE49" s="2" t="str">
        <x:v>fc661864e1c5d20e6f3534da91d3eff58e4e483997c3597816e88133ecd7253f</x:v>
      </x:c>
      <x:c r="AF49" s="2"/>
      <x:c r="AG49" s="2"/>
      <x:c r="AH49" s="10" t="n">
        <x:v>0.067581</x:v>
      </x:c>
      <x:c r="AI49" s="10" t="n">
        <x:v>0.096723</x:v>
      </x:c>
      <x:c r="AJ49" s="2" t="n">
        <x:v>0</x:v>
      </x:c>
      <x:c r="AK49" s="2" t="n">
        <x:v>0</x:v>
      </x:c>
      <x:c r="AL49" s="2" t="n">
        <x:v>1616</x:v>
      </x:c>
      <x:c r="AM49" s="2" t="n">
        <x:v>71</x:v>
      </x:c>
      <x:c r="AN49" s="12" t="d">
        <x:v>2026-10-20T03:19:40.700Z</x:v>
      </x:c>
    </x:row>
    <x:row r="50" ht="21" customHeight="1">
      <x:c r="A50" s="2" t="str">
        <x:v>primary</x:v>
      </x:c>
      <x:c r="B50" s="2" t="str">
        <x:v>baseline</x:v>
      </x:c>
      <x:c r="C50" s="2" t="n">
        <x:v>3</x:v>
      </x:c>
      <x:c r="D50" s="2" t="str">
        <x:v>complete</x:v>
      </x:c>
      <x:c r="E50" s="2" t="n">
        <x:v>60</x:v>
      </x:c>
      <x:c r="F50" s="9" t="n">
        <x:v>0</x:v>
      </x:c>
      <x:c r="G50" s="10" t="n">
        <x:v>0.1343975</x:v>
      </x:c>
      <x:c r="H50" s="10" t="n">
        <x:v>0.15949</x:v>
      </x:c>
      <x:c r="I50" s="10" t="n">
        <x:v>0</x:v>
      </x:c>
      <x:c r="J50" s="10" t="n">
        <x:v>100.064664</x:v>
      </x:c>
      <x:c r="K50" s="11" t="n">
        <x:v>0</x:v>
      </x:c>
      <x:c r="L50" s="11" t="n">
        <x:v>600</x:v>
      </x:c>
      <x:c r="M50" s="11" t="n">
        <x:v>0</x:v>
      </x:c>
      <x:c r="N50" s="11" t="n">
        <x:v>0</x:v>
      </x:c>
      <x:c r="O50" s="11" t="n">
        <x:v>0</x:v>
      </x:c>
      <x:c r="P50" s="2" t="str">
        <x:v>data</x:v>
      </x:c>
      <x:c r="Q50" s="2" t="str">
        <x:v>periodic</x:v>
      </x:c>
      <x:c r="R50" s="2" t="n">
        <x:v>100</x:v>
      </x:c>
      <x:c r="S50" s="2" t="n">
        <x:v>100</x:v>
      </x:c>
      <x:c r="T50" s="2" t="str">
        <x:v>8</x:v>
      </x:c>
      <x:c r="U50" s="2" t="n">
        <x:v>4</x:v>
      </x:c>
      <x:c r="V50" s="2" t="str">
        <x:v>performance</x:v>
      </x:c>
      <x:c r="W50" s="2" t="n">
        <x:v>0</x:v>
      </x:c>
      <x:c r="X50" s="4" t="b">
        <x:v>0</x:v>
      </x:c>
      <x:c r="Y50" s="4" t="b">
        <x:v>0</x:v>
      </x:c>
      <x:c r="Z50" s="2" t="n">
        <x:v>0</x:v>
      </x:c>
      <x:c r="AA50" s="2" t="str">
        <x:v>boot</x:v>
      </x:c>
      <x:c r="AB50" s="12" t="d">
        <x:v>2026-10-20T03:19:40.701Z</x:v>
      </x:c>
      <x:c r="AC50" s="2" t="str">
        <x:v>main/20261020T024952_526575Z/024_baseline_r3</x:v>
      </x:c>
      <x:c r="AD50" s="2" t="str">
        <x:v>f9f42bacce48de3308ed4d9c2c7e3e831bc819de1070ad6e69d756bbc5063f4c</x:v>
      </x:c>
      <x:c r="AE50" s="2" t="str">
        <x:v>fc661864e1c5d20e6f3534da91d3eff58e4e483997c3597816e88133ecd7253f</x:v>
      </x:c>
      <x:c r="AF50" s="2"/>
      <x:c r="AG50" s="2"/>
      <x:c r="AH50" s="10" t="n">
        <x:v>0.062274</x:v>
      </x:c>
      <x:c r="AI50" s="10" t="n">
        <x:v>0.097798</x:v>
      </x:c>
      <x:c r="AJ50" s="2" t="n">
        <x:v>0</x:v>
      </x:c>
      <x:c r="AK50" s="2" t="n">
        <x:v>0</x:v>
      </x:c>
      <x:c r="AL50" s="2" t="n">
        <x:v>1104</x:v>
      </x:c>
      <x:c r="AM50" s="2" t="n">
        <x:v>71</x:v>
      </x:c>
      <x:c r="AN50" s="12" t="d">
        <x:v>2026-10-20T03:20:56.790Z</x:v>
      </x:c>
    </x:row>
    <x:row r="51" ht="21" customHeight="1">
      <x:c r="A51" s="2" t="str">
        <x:v>primary</x:v>
      </x:c>
      <x:c r="B51" s="2" t="str">
        <x:v>governor_powersave</x:v>
      </x:c>
      <x:c r="C51" s="2" t="n">
        <x:v>3</x:v>
      </x:c>
      <x:c r="D51" s="2" t="str">
        <x:v>complete</x:v>
      </x:c>
      <x:c r="E51" s="2" t="n">
        <x:v>60</x:v>
      </x:c>
      <x:c r="F51" s="9" t="n">
        <x:v>0</x:v>
      </x:c>
      <x:c r="G51" s="10" t="n">
        <x:v>0.1624405</x:v>
      </x:c>
      <x:c r="H51" s="10" t="n">
        <x:v>0.184151</x:v>
      </x:c>
      <x:c r="I51" s="10" t="n">
        <x:v>0</x:v>
      </x:c>
      <x:c r="J51" s="10" t="n">
        <x:v>100.059848</x:v>
      </x:c>
      <x:c r="K51" s="11" t="n">
        <x:v>0</x:v>
      </x:c>
      <x:c r="L51" s="11" t="n">
        <x:v>600</x:v>
      </x:c>
      <x:c r="M51" s="11" t="n">
        <x:v>0</x:v>
      </x:c>
      <x:c r="N51" s="11" t="n">
        <x:v>0</x:v>
      </x:c>
      <x:c r="O51" s="11" t="n">
        <x:v>0</x:v>
      </x:c>
      <x:c r="P51" s="2" t="str">
        <x:v>data</x:v>
      </x:c>
      <x:c r="Q51" s="2" t="str">
        <x:v>periodic</x:v>
      </x:c>
      <x:c r="R51" s="2" t="n">
        <x:v>100</x:v>
      </x:c>
      <x:c r="S51" s="2" t="n">
        <x:v>100</x:v>
      </x:c>
      <x:c r="T51" s="2" t="str">
        <x:v>8</x:v>
      </x:c>
      <x:c r="U51" s="2" t="n">
        <x:v>4</x:v>
      </x:c>
      <x:c r="V51" s="2" t="str">
        <x:v>powersave</x:v>
      </x:c>
      <x:c r="W51" s="2" t="n">
        <x:v>0</x:v>
      </x:c>
      <x:c r="X51" s="4" t="b">
        <x:v>0</x:v>
      </x:c>
      <x:c r="Y51" s="4" t="b">
        <x:v>0</x:v>
      </x:c>
      <x:c r="Z51" s="2" t="n">
        <x:v>0</x:v>
      </x:c>
      <x:c r="AA51" s="2" t="str">
        <x:v>boot</x:v>
      </x:c>
      <x:c r="AB51" s="12" t="d">
        <x:v>2026-10-20T03:20:56.791Z</x:v>
      </x:c>
      <x:c r="AC51" s="2" t="str">
        <x:v>main/20261020T024952_526575Z/025_governor_powersave_r3</x:v>
      </x:c>
      <x:c r="AD51" s="2" t="str">
        <x:v>f9f42bacce48de3308ed4d9c2c7e3e831bc819de1070ad6e69d756bbc5063f4c</x:v>
      </x:c>
      <x:c r="AE51" s="2" t="str">
        <x:v>fc661864e1c5d20e6f3534da91d3eff58e4e483997c3597816e88133ecd7253f</x:v>
      </x:c>
      <x:c r="AF51" s="2"/>
      <x:c r="AG51" s="2"/>
      <x:c r="AH51" s="10" t="n">
        <x:v>0.066312</x:v>
      </x:c>
      <x:c r="AI51" s="10" t="n">
        <x:v>0.119761</x:v>
      </x:c>
      <x:c r="AJ51" s="2" t="n">
        <x:v>0</x:v>
      </x:c>
      <x:c r="AK51" s="2" t="n">
        <x:v>1</x:v>
      </x:c>
      <x:c r="AL51" s="2" t="n">
        <x:v>1616</x:v>
      </x:c>
      <x:c r="AM51" s="2" t="n">
        <x:v>72</x:v>
      </x:c>
      <x:c r="AN51" s="12" t="d">
        <x:v>2026-10-20T03:22:13.006Z</x:v>
      </x:c>
    </x:row>
    <x:row r="52" ht="21" customHeight="1">
      <x:c r="A52" s="2" t="str">
        <x:v>primary</x:v>
      </x:c>
      <x:c r="B52" s="2" t="str">
        <x:v>network_rx_10M</x:v>
      </x:c>
      <x:c r="C52" s="2" t="n">
        <x:v>3</x:v>
      </x:c>
      <x:c r="D52" s="2" t="str">
        <x:v>complete</x:v>
      </x:c>
      <x:c r="E52" s="2" t="n">
        <x:v>60</x:v>
      </x:c>
      <x:c r="F52" s="9" t="n">
        <x:v>0</x:v>
      </x:c>
      <x:c r="G52" s="10" t="n">
        <x:v>0.13796999999999998</x:v>
      </x:c>
      <x:c r="H52" s="10" t="n">
        <x:v>0.15985</x:v>
      </x:c>
      <x:c r="I52" s="10" t="n">
        <x:v>0</x:v>
      </x:c>
      <x:c r="J52" s="10" t="n">
        <x:v>100.035975</x:v>
      </x:c>
      <x:c r="K52" s="11" t="n">
        <x:v>0</x:v>
      </x:c>
      <x:c r="L52" s="11" t="n">
        <x:v>600</x:v>
      </x:c>
      <x:c r="M52" s="11" t="n">
        <x:v>0</x:v>
      </x:c>
      <x:c r="N52" s="11" t="n">
        <x:v>0</x:v>
      </x:c>
      <x:c r="O52" s="11" t="n">
        <x:v>0</x:v>
      </x:c>
      <x:c r="P52" s="2" t="str">
        <x:v>data</x:v>
      </x:c>
      <x:c r="Q52" s="2" t="str">
        <x:v>periodic</x:v>
      </x:c>
      <x:c r="R52" s="2" t="n">
        <x:v>100</x:v>
      </x:c>
      <x:c r="S52" s="2" t="n">
        <x:v>100</x:v>
      </x:c>
      <x:c r="T52" s="2" t="str">
        <x:v>8</x:v>
      </x:c>
      <x:c r="U52" s="2" t="n">
        <x:v>4</x:v>
      </x:c>
      <x:c r="V52" s="2" t="str">
        <x:v>performance</x:v>
      </x:c>
      <x:c r="W52" s="2" t="n">
        <x:v>0</x:v>
      </x:c>
      <x:c r="X52" s="4" t="b">
        <x:v>0</x:v>
      </x:c>
      <x:c r="Y52" s="4" t="b">
        <x:v>0</x:v>
      </x:c>
      <x:c r="Z52" s="2" t="n">
        <x:v>10</x:v>
      </x:c>
      <x:c r="AA52" s="2" t="str">
        <x:v>boot</x:v>
      </x:c>
      <x:c r="AB52" s="12" t="d">
        <x:v>2026-10-20T03:22:13.008Z</x:v>
      </x:c>
      <x:c r="AC52" s="2" t="str">
        <x:v>main/20261020T024952_526575Z/026_network_rx_10M_r3</x:v>
      </x:c>
      <x:c r="AD52" s="2" t="str">
        <x:v>f9f42bacce48de3308ed4d9c2c7e3e831bc819de1070ad6e69d756bbc5063f4c</x:v>
      </x:c>
      <x:c r="AE52" s="2" t="str">
        <x:v>fc661864e1c5d20e6f3534da91d3eff58e4e483997c3597816e88133ecd7253f</x:v>
      </x:c>
      <x:c r="AF52" s="2"/>
      <x:c r="AG52" s="2"/>
      <x:c r="AH52" s="10" t="n">
        <x:v>0.062031</x:v>
      </x:c>
      <x:c r="AI52" s="10" t="n">
        <x:v>0.100482</x:v>
      </x:c>
      <x:c r="AJ52" s="2" t="n">
        <x:v>0</x:v>
      </x:c>
      <x:c r="AK52" s="2" t="n">
        <x:v>0</x:v>
      </x:c>
      <x:c r="AL52" s="2" t="n">
        <x:v>1616</x:v>
      </x:c>
      <x:c r="AM52" s="2" t="n">
        <x:v>71</x:v>
      </x:c>
      <x:c r="AN52" s="12" t="d">
        <x:v>2026-10-20T03:23:38.822Z</x:v>
      </x:c>
    </x:row>
    <x:row r="53" ht="21" customHeight="1">
      <x:c r="A53" s="2" t="str">
        <x:v>primary</x:v>
      </x:c>
      <x:c r="B53" s="2" t="str">
        <x:v>priority_nice_19</x:v>
      </x:c>
      <x:c r="C53" s="2" t="n">
        <x:v>3</x:v>
      </x:c>
      <x:c r="D53" s="2" t="str">
        <x:v>complete</x:v>
      </x:c>
      <x:c r="E53" s="2" t="n">
        <x:v>60</x:v>
      </x:c>
      <x:c r="F53" s="9" t="n">
        <x:v>0</x:v>
      </x:c>
      <x:c r="G53" s="10" t="n">
        <x:v>2.6484240000000003</x:v>
      </x:c>
      <x:c r="H53" s="10" t="n">
        <x:v>2.674644</x:v>
      </x:c>
      <x:c r="I53" s="10" t="n">
        <x:v>0</x:v>
      </x:c>
      <x:c r="J53" s="10" t="n">
        <x:v>102.504652</x:v>
      </x:c>
      <x:c r="K53" s="11" t="n">
        <x:v>0</x:v>
      </x:c>
      <x:c r="L53" s="11" t="n">
        <x:v>600</x:v>
      </x:c>
      <x:c r="M53" s="11" t="n">
        <x:v>0</x:v>
      </x:c>
      <x:c r="N53" s="11" t="n">
        <x:v>0</x:v>
      </x:c>
      <x:c r="O53" s="11" t="n">
        <x:v>0</x:v>
      </x:c>
      <x:c r="P53" s="2" t="str">
        <x:v>data</x:v>
      </x:c>
      <x:c r="Q53" s="2" t="str">
        <x:v>periodic</x:v>
      </x:c>
      <x:c r="R53" s="2" t="n">
        <x:v>100</x:v>
      </x:c>
      <x:c r="S53" s="2" t="n">
        <x:v>100</x:v>
      </x:c>
      <x:c r="T53" s="2" t="str">
        <x:v>8</x:v>
      </x:c>
      <x:c r="U53" s="2" t="n">
        <x:v>4</x:v>
      </x:c>
      <x:c r="V53" s="2" t="str">
        <x:v>performance</x:v>
      </x:c>
      <x:c r="W53" s="2" t="n">
        <x:v>19</x:v>
      </x:c>
      <x:c r="X53" s="4" t="b">
        <x:v>1</x:v>
      </x:c>
      <x:c r="Y53" s="4" t="b">
        <x:v>1</x:v>
      </x:c>
      <x:c r="Z53" s="2" t="n">
        <x:v>0</x:v>
      </x:c>
      <x:c r="AA53" s="2" t="str">
        <x:v>boot</x:v>
      </x:c>
      <x:c r="AB53" s="12" t="d">
        <x:v>2026-10-20T03:23:38.823Z</x:v>
      </x:c>
      <x:c r="AC53" s="2" t="str">
        <x:v>main/20261020T024952_526575Z/027_priority_nice_19_r3</x:v>
      </x:c>
      <x:c r="AD53" s="2" t="str">
        <x:v>f9f42bacce48de3308ed4d9c2c7e3e831bc819de1070ad6e69d756bbc5063f4c</x:v>
      </x:c>
      <x:c r="AE53" s="2" t="str">
        <x:v>fc661864e1c5d20e6f3534da91d3eff58e4e483997c3597816e88133ecd7253f</x:v>
      </x:c>
      <x:c r="AF53" s="2"/>
      <x:c r="AG53" s="2"/>
      <x:c r="AH53" s="10" t="n">
        <x:v>2.57575</x:v>
      </x:c>
      <x:c r="AI53" s="10" t="n">
        <x:v>0.115057</x:v>
      </x:c>
      <x:c r="AJ53" s="2" t="n">
        <x:v>0</x:v>
      </x:c>
      <x:c r="AK53" s="2" t="n">
        <x:v>18</x:v>
      </x:c>
      <x:c r="AL53" s="2" t="n">
        <x:v>1600</x:v>
      </x:c>
      <x:c r="AM53" s="2" t="n">
        <x:v>71</x:v>
      </x:c>
      <x:c r="AN53" s="12" t="d">
        <x:v>2026-10-20T03:24:54.932Z</x:v>
      </x:c>
    </x:row>
    <x:row r="54" ht="21" customHeight="1">
      <x:c r="A54" s="2" t="str">
        <x:v>primary</x:v>
      </x:c>
      <x:c r="B54" s="2" t="str">
        <x:v>network_rx_50M</x:v>
      </x:c>
      <x:c r="C54" s="2" t="n">
        <x:v>3</x:v>
      </x:c>
      <x:c r="D54" s="2" t="str">
        <x:v>complete</x:v>
      </x:c>
      <x:c r="E54" s="2" t="n">
        <x:v>60</x:v>
      </x:c>
      <x:c r="F54" s="9" t="n">
        <x:v>0</x:v>
      </x:c>
      <x:c r="G54" s="10" t="n">
        <x:v>0.138581</x:v>
      </x:c>
      <x:c r="H54" s="10" t="n">
        <x:v>0.157749</x:v>
      </x:c>
      <x:c r="I54" s="10" t="n">
        <x:v>0</x:v>
      </x:c>
      <x:c r="J54" s="10" t="n">
        <x:v>100.049856</x:v>
      </x:c>
      <x:c r="K54" s="11" t="n">
        <x:v>0</x:v>
      </x:c>
      <x:c r="L54" s="11" t="n">
        <x:v>600</x:v>
      </x:c>
      <x:c r="M54" s="11" t="n">
        <x:v>0</x:v>
      </x:c>
      <x:c r="N54" s="11" t="n">
        <x:v>0</x:v>
      </x:c>
      <x:c r="O54" s="11" t="n">
        <x:v>0</x:v>
      </x:c>
      <x:c r="P54" s="2" t="str">
        <x:v>data</x:v>
      </x:c>
      <x:c r="Q54" s="2" t="str">
        <x:v>periodic</x:v>
      </x:c>
      <x:c r="R54" s="2" t="n">
        <x:v>100</x:v>
      </x:c>
      <x:c r="S54" s="2" t="n">
        <x:v>100</x:v>
      </x:c>
      <x:c r="T54" s="2" t="str">
        <x:v>8</x:v>
      </x:c>
      <x:c r="U54" s="2" t="n">
        <x:v>4</x:v>
      </x:c>
      <x:c r="V54" s="2" t="str">
        <x:v>performance</x:v>
      </x:c>
      <x:c r="W54" s="2" t="n">
        <x:v>0</x:v>
      </x:c>
      <x:c r="X54" s="4" t="b">
        <x:v>0</x:v>
      </x:c>
      <x:c r="Y54" s="4" t="b">
        <x:v>0</x:v>
      </x:c>
      <x:c r="Z54" s="2" t="n">
        <x:v>50</x:v>
      </x:c>
      <x:c r="AA54" s="2" t="str">
        <x:v>boot</x:v>
      </x:c>
      <x:c r="AB54" s="12" t="d">
        <x:v>2026-10-20T03:24:54.932Z</x:v>
      </x:c>
      <x:c r="AC54" s="2" t="str">
        <x:v>main/20261020T024952_526575Z/028_network_rx_50M_r3</x:v>
      </x:c>
      <x:c r="AD54" s="2" t="str">
        <x:v>f9f42bacce48de3308ed4d9c2c7e3e831bc819de1070ad6e69d756bbc5063f4c</x:v>
      </x:c>
      <x:c r="AE54" s="2" t="str">
        <x:v>fc661864e1c5d20e6f3534da91d3eff58e4e483997c3597816e88133ecd7253f</x:v>
      </x:c>
      <x:c r="AF54" s="2"/>
      <x:c r="AG54" s="2"/>
      <x:c r="AH54" s="10" t="n">
        <x:v>0.062148</x:v>
      </x:c>
      <x:c r="AI54" s="10" t="n">
        <x:v>0.097704</x:v>
      </x:c>
      <x:c r="AJ54" s="2" t="n">
        <x:v>0</x:v>
      </x:c>
      <x:c r="AK54" s="2" t="n">
        <x:v>1</x:v>
      </x:c>
      <x:c r="AL54" s="2" t="n">
        <x:v>1104</x:v>
      </x:c>
      <x:c r="AM54" s="2" t="n">
        <x:v>71</x:v>
      </x:c>
      <x:c r="AN54" s="12" t="d">
        <x:v>2026-10-20T03:26:20.044Z</x:v>
      </x:c>
    </x:row>
    <x:row r="55" ht="21" customHeight="1">
      <x:c r="A55" s="2" t="str">
        <x:v>primary</x:v>
      </x:c>
      <x:c r="B55" s="2" t="str">
        <x:v>governor_ondemand</x:v>
      </x:c>
      <x:c r="C55" s="2" t="n">
        <x:v>3</x:v>
      </x:c>
      <x:c r="D55" s="2" t="str">
        <x:v>complete</x:v>
      </x:c>
      <x:c r="E55" s="2" t="n">
        <x:v>60</x:v>
      </x:c>
      <x:c r="F55" s="9" t="n">
        <x:v>0</x:v>
      </x:c>
      <x:c r="G55" s="10" t="n">
        <x:v>0.164857</x:v>
      </x:c>
      <x:c r="H55" s="10" t="n">
        <x:v>0.194721</x:v>
      </x:c>
      <x:c r="I55" s="10" t="n">
        <x:v>0</x:v>
      </x:c>
      <x:c r="J55" s="10" t="n">
        <x:v>100.054906</x:v>
      </x:c>
      <x:c r="K55" s="11" t="n">
        <x:v>0</x:v>
      </x:c>
      <x:c r="L55" s="11" t="n">
        <x:v>600</x:v>
      </x:c>
      <x:c r="M55" s="11" t="n">
        <x:v>0</x:v>
      </x:c>
      <x:c r="N55" s="11" t="n">
        <x:v>0</x:v>
      </x:c>
      <x:c r="O55" s="11" t="n">
        <x:v>0</x:v>
      </x:c>
      <x:c r="P55" s="2" t="str">
        <x:v>data</x:v>
      </x:c>
      <x:c r="Q55" s="2" t="str">
        <x:v>periodic</x:v>
      </x:c>
      <x:c r="R55" s="2" t="n">
        <x:v>100</x:v>
      </x:c>
      <x:c r="S55" s="2" t="n">
        <x:v>100</x:v>
      </x:c>
      <x:c r="T55" s="2" t="str">
        <x:v>8</x:v>
      </x:c>
      <x:c r="U55" s="2" t="n">
        <x:v>4</x:v>
      </x:c>
      <x:c r="V55" s="2" t="str">
        <x:v>ondemand</x:v>
      </x:c>
      <x:c r="W55" s="2" t="n">
        <x:v>0</x:v>
      </x:c>
      <x:c r="X55" s="4" t="b">
        <x:v>0</x:v>
      </x:c>
      <x:c r="Y55" s="4" t="b">
        <x:v>0</x:v>
      </x:c>
      <x:c r="Z55" s="2" t="n">
        <x:v>0</x:v>
      </x:c>
      <x:c r="AA55" s="2" t="str">
        <x:v>boot</x:v>
      </x:c>
      <x:c r="AB55" s="12" t="d">
        <x:v>2026-10-20T03:26:20.045Z</x:v>
      </x:c>
      <x:c r="AC55" s="2" t="str">
        <x:v>main/20261020T024952_526575Z/029_governor_ondemand_r3</x:v>
      </x:c>
      <x:c r="AD55" s="2" t="str">
        <x:v>f9f42bacce48de3308ed4d9c2c7e3e831bc819de1070ad6e69d756bbc5063f4c</x:v>
      </x:c>
      <x:c r="AE55" s="2" t="str">
        <x:v>fc661864e1c5d20e6f3534da91d3eff58e4e483997c3597816e88133ecd7253f</x:v>
      </x:c>
      <x:c r="AF55" s="2"/>
      <x:c r="AG55" s="2"/>
      <x:c r="AH55" s="10" t="n">
        <x:v>0.074912</x:v>
      </x:c>
      <x:c r="AI55" s="10" t="n">
        <x:v>0.124001</x:v>
      </x:c>
      <x:c r="AJ55" s="2" t="n">
        <x:v>0</x:v>
      </x:c>
      <x:c r="AK55" s="2" t="n">
        <x:v>1</x:v>
      </x:c>
      <x:c r="AL55" s="2" t="n">
        <x:v>1616</x:v>
      </x:c>
      <x:c r="AM55" s="2" t="n">
        <x:v>72</x:v>
      </x:c>
      <x:c r="AN55" s="12" t="d">
        <x:v>2026-10-20T03:27:36.131Z</x:v>
      </x:c>
    </x:row>
    <x:row r="56" ht="21" customHeight="1">
      <x:c r="A56" s="2" t="str">
        <x:v>primary</x:v>
      </x:c>
      <x:c r="B56" s="2" t="str">
        <x:v>priority_nice_-10</x:v>
      </x:c>
      <x:c r="C56" s="2" t="n">
        <x:v>3</x:v>
      </x:c>
      <x:c r="D56" s="2" t="str">
        <x:v>complete</x:v>
      </x:c>
      <x:c r="E56" s="2" t="n">
        <x:v>60</x:v>
      </x:c>
      <x:c r="F56" s="9" t="n">
        <x:v>0</x:v>
      </x:c>
      <x:c r="G56" s="10" t="n">
        <x:v>0.1519485</x:v>
      </x:c>
      <x:c r="H56" s="10" t="n">
        <x:v>0.187925</x:v>
      </x:c>
      <x:c r="I56" s="10" t="n">
        <x:v>0</x:v>
      </x:c>
      <x:c r="J56" s="10" t="n">
        <x:v>102.480107</x:v>
      </x:c>
      <x:c r="K56" s="11" t="n">
        <x:v>0</x:v>
      </x:c>
      <x:c r="L56" s="11" t="n">
        <x:v>600</x:v>
      </x:c>
      <x:c r="M56" s="11" t="n">
        <x:v>0</x:v>
      </x:c>
      <x:c r="N56" s="11" t="n">
        <x:v>0</x:v>
      </x:c>
      <x:c r="O56" s="11" t="n">
        <x:v>0</x:v>
      </x:c>
      <x:c r="P56" s="2" t="str">
        <x:v>data</x:v>
      </x:c>
      <x:c r="Q56" s="2" t="str">
        <x:v>periodic</x:v>
      </x:c>
      <x:c r="R56" s="2" t="n">
        <x:v>100</x:v>
      </x:c>
      <x:c r="S56" s="2" t="n">
        <x:v>100</x:v>
      </x:c>
      <x:c r="T56" s="2" t="str">
        <x:v>8</x:v>
      </x:c>
      <x:c r="U56" s="2" t="n">
        <x:v>4</x:v>
      </x:c>
      <x:c r="V56" s="2" t="str">
        <x:v>performance</x:v>
      </x:c>
      <x:c r="W56" s="2" t="n">
        <x:v>-10</x:v>
      </x:c>
      <x:c r="X56" s="4" t="b">
        <x:v>1</x:v>
      </x:c>
      <x:c r="Y56" s="4" t="b">
        <x:v>1</x:v>
      </x:c>
      <x:c r="Z56" s="2" t="n">
        <x:v>0</x:v>
      </x:c>
      <x:c r="AA56" s="2" t="str">
        <x:v>boot</x:v>
      </x:c>
      <x:c r="AB56" s="12" t="d">
        <x:v>2026-10-20T03:27:36.131Z</x:v>
      </x:c>
      <x:c r="AC56" s="2" t="str">
        <x:v>main/20261020T024952_526575Z/030_priority_nice_-10_r3</x:v>
      </x:c>
      <x:c r="AD56" s="2" t="str">
        <x:v>f9f42bacce48de3308ed4d9c2c7e3e831bc819de1070ad6e69d756bbc5063f4c</x:v>
      </x:c>
      <x:c r="AE56" s="2" t="str">
        <x:v>fc661864e1c5d20e6f3534da91d3eff58e4e483997c3597816e88133ecd7253f</x:v>
      </x:c>
      <x:c r="AF56" s="2"/>
      <x:c r="AG56" s="2"/>
      <x:c r="AH56" s="10" t="n">
        <x:v>0.063813</x:v>
      </x:c>
      <x:c r="AI56" s="10" t="n">
        <x:v>0.119631</x:v>
      </x:c>
      <x:c r="AJ56" s="2" t="n">
        <x:v>0</x:v>
      </x:c>
      <x:c r="AK56" s="2" t="n">
        <x:v>1</x:v>
      </x:c>
      <x:c r="AL56" s="2" t="n">
        <x:v>1616</x:v>
      </x:c>
      <x:c r="AM56" s="2" t="n">
        <x:v>70</x:v>
      </x:c>
      <x:c r="AN56" s="12" t="d">
        <x:v>2026-10-20T03:28:52.248Z</x:v>
      </x:c>
    </x:row>
    <x:row r="57" ht="21" customHeight="1">
      <x:c r="A57" s="2" t="str">
        <x:v>primary</x:v>
      </x:c>
      <x:c r="B57" s="2" t="str">
        <x:v>cores_3</x:v>
      </x:c>
      <x:c r="C57" s="2" t="n">
        <x:v>1</x:v>
      </x:c>
      <x:c r="D57" s="2" t="str">
        <x:v>complete</x:v>
      </x:c>
      <x:c r="E57" s="2" t="n">
        <x:v>60</x:v>
      </x:c>
      <x:c r="F57" s="9" t="n">
        <x:v>0</x:v>
      </x:c>
      <x:c r="G57" s="10" t="n">
        <x:v>0.138927</x:v>
      </x:c>
      <x:c r="H57" s="10" t="n">
        <x:v>0.165871</x:v>
      </x:c>
      <x:c r="I57" s="10" t="n">
        <x:v>0</x:v>
      </x:c>
      <x:c r="J57" s="10" t="n">
        <x:v>100.032046</x:v>
      </x:c>
      <x:c r="K57" s="11" t="n">
        <x:v>0</x:v>
      </x:c>
      <x:c r="L57" s="11" t="n">
        <x:v>600</x:v>
      </x:c>
      <x:c r="M57" s="11" t="n">
        <x:v>0</x:v>
      </x:c>
      <x:c r="N57" s="11" t="n">
        <x:v>0</x:v>
      </x:c>
      <x:c r="O57" s="11" t="n">
        <x:v>0</x:v>
      </x:c>
      <x:c r="P57" s="2" t="str">
        <x:v>data</x:v>
      </x:c>
      <x:c r="Q57" s="2" t="str">
        <x:v>periodic</x:v>
      </x:c>
      <x:c r="R57" s="2" t="n">
        <x:v>100</x:v>
      </x:c>
      <x:c r="S57" s="2" t="n">
        <x:v>100</x:v>
      </x:c>
      <x:c r="T57" s="2" t="str">
        <x:v>8</x:v>
      </x:c>
      <x:c r="U57" s="2" t="n">
        <x:v>3</x:v>
      </x:c>
      <x:c r="V57" s="2" t="str">
        <x:v>performance</x:v>
      </x:c>
      <x:c r="W57" s="2" t="n">
        <x:v>0</x:v>
      </x:c>
      <x:c r="X57" s="4" t="b">
        <x:v>0</x:v>
      </x:c>
      <x:c r="Y57" s="4" t="b">
        <x:v>0</x:v>
      </x:c>
      <x:c r="Z57" s="2" t="n">
        <x:v>0</x:v>
      </x:c>
      <x:c r="AA57" s="2" t="str">
        <x:v>boot</x:v>
      </x:c>
      <x:c r="AB57" s="12" t="d">
        <x:v>2026-10-20T03:33:24.268Z</x:v>
      </x:c>
      <x:c r="AC57" s="2" t="str">
        <x:v>main/20261020T033324_238672Z/001_cores_3_r1</x:v>
      </x:c>
      <x:c r="AD57" s="2" t="str">
        <x:v>f9f42bacce48de3308ed4d9c2c7e3e831bc819de1070ad6e69d756bbc5063f4c</x:v>
      </x:c>
      <x:c r="AE57" s="2" t="str">
        <x:v>fc661864e1c5d20e6f3534da91d3eff58e4e483997c3597816e88133ecd7253f</x:v>
      </x:c>
      <x:c r="AF57" s="2"/>
      <x:c r="AG57" s="2"/>
      <x:c r="AH57" s="10" t="n">
        <x:v>0.06268</x:v>
      </x:c>
      <x:c r="AI57" s="10" t="n">
        <x:v>0.104221</x:v>
      </x:c>
      <x:c r="AJ57" s="2" t="n">
        <x:v>0</x:v>
      </x:c>
      <x:c r="AK57" s="2" t="n">
        <x:v>0</x:v>
      </x:c>
      <x:c r="AL57" s="2" t="n">
        <x:v>1616</x:v>
      </x:c>
      <x:c r="AM57" s="2" t="n">
        <x:v>71</x:v>
      </x:c>
      <x:c r="AN57" s="12" t="d">
        <x:v>2026-10-20T03:34:40.357Z</x:v>
      </x:c>
    </x:row>
    <x:row r="58" ht="21" customHeight="1">
      <x:c r="A58" s="2" t="str">
        <x:v>primary</x:v>
      </x:c>
      <x:c r="B58" s="2" t="str">
        <x:v>cores_3</x:v>
      </x:c>
      <x:c r="C58" s="2" t="n">
        <x:v>2</x:v>
      </x:c>
      <x:c r="D58" s="2" t="str">
        <x:v>complete</x:v>
      </x:c>
      <x:c r="E58" s="2" t="n">
        <x:v>60</x:v>
      </x:c>
      <x:c r="F58" s="9" t="n">
        <x:v>0</x:v>
      </x:c>
      <x:c r="G58" s="10" t="n">
        <x:v>0.1395565</x:v>
      </x:c>
      <x:c r="H58" s="10" t="n">
        <x:v>0.160804</x:v>
      </x:c>
      <x:c r="I58" s="10" t="n">
        <x:v>0</x:v>
      </x:c>
      <x:c r="J58" s="10" t="n">
        <x:v>100.031394</x:v>
      </x:c>
      <x:c r="K58" s="11" t="n">
        <x:v>0</x:v>
      </x:c>
      <x:c r="L58" s="11" t="n">
        <x:v>600</x:v>
      </x:c>
      <x:c r="M58" s="11" t="n">
        <x:v>0</x:v>
      </x:c>
      <x:c r="N58" s="11" t="n">
        <x:v>0</x:v>
      </x:c>
      <x:c r="O58" s="11" t="n">
        <x:v>0</x:v>
      </x:c>
      <x:c r="P58" s="2" t="str">
        <x:v>data</x:v>
      </x:c>
      <x:c r="Q58" s="2" t="str">
        <x:v>periodic</x:v>
      </x:c>
      <x:c r="R58" s="2" t="n">
        <x:v>100</x:v>
      </x:c>
      <x:c r="S58" s="2" t="n">
        <x:v>100</x:v>
      </x:c>
      <x:c r="T58" s="2" t="str">
        <x:v>8</x:v>
      </x:c>
      <x:c r="U58" s="2" t="n">
        <x:v>3</x:v>
      </x:c>
      <x:c r="V58" s="2" t="str">
        <x:v>performance</x:v>
      </x:c>
      <x:c r="W58" s="2" t="n">
        <x:v>0</x:v>
      </x:c>
      <x:c r="X58" s="4" t="b">
        <x:v>0</x:v>
      </x:c>
      <x:c r="Y58" s="4" t="b">
        <x:v>0</x:v>
      </x:c>
      <x:c r="Z58" s="2" t="n">
        <x:v>0</x:v>
      </x:c>
      <x:c r="AA58" s="2" t="str">
        <x:v>boot</x:v>
      </x:c>
      <x:c r="AB58" s="12" t="d">
        <x:v>2026-10-20T03:34:40.359Z</x:v>
      </x:c>
      <x:c r="AC58" s="2" t="str">
        <x:v>main/20261020T033324_238672Z/002_cores_3_r2</x:v>
      </x:c>
      <x:c r="AD58" s="2" t="str">
        <x:v>f9f42bacce48de3308ed4d9c2c7e3e831bc819de1070ad6e69d756bbc5063f4c</x:v>
      </x:c>
      <x:c r="AE58" s="2" t="str">
        <x:v>fc661864e1c5d20e6f3534da91d3eff58e4e483997c3597816e88133ecd7253f</x:v>
      </x:c>
      <x:c r="AF58" s="2"/>
      <x:c r="AG58" s="2"/>
      <x:c r="AH58" s="10" t="n">
        <x:v>0.062104</x:v>
      </x:c>
      <x:c r="AI58" s="10" t="n">
        <x:v>0.100852</x:v>
      </x:c>
      <x:c r="AJ58" s="2" t="n">
        <x:v>0</x:v>
      </x:c>
      <x:c r="AK58" s="2" t="n">
        <x:v>0</x:v>
      </x:c>
      <x:c r="AL58" s="2" t="n">
        <x:v>1616</x:v>
      </x:c>
      <x:c r="AM58" s="2" t="n">
        <x:v>71</x:v>
      </x:c>
      <x:c r="AN58" s="12" t="d">
        <x:v>2026-10-20T03:35:56.444Z</x:v>
      </x:c>
    </x:row>
    <x:row r="59" ht="21" customHeight="1">
      <x:c r="A59" s="2" t="str">
        <x:v>primary</x:v>
      </x:c>
      <x:c r="B59" s="2" t="str">
        <x:v>cores_3</x:v>
      </x:c>
      <x:c r="C59" s="2" t="n">
        <x:v>3</x:v>
      </x:c>
      <x:c r="D59" s="2" t="str">
        <x:v>complete</x:v>
      </x:c>
      <x:c r="E59" s="2" t="n">
        <x:v>60</x:v>
      </x:c>
      <x:c r="F59" s="9" t="n">
        <x:v>0</x:v>
      </x:c>
      <x:c r="G59" s="10" t="n">
        <x:v>0.136108</x:v>
      </x:c>
      <x:c r="H59" s="10" t="n">
        <x:v>0.159643</x:v>
      </x:c>
      <x:c r="I59" s="10" t="n">
        <x:v>0</x:v>
      </x:c>
      <x:c r="J59" s="10" t="n">
        <x:v>100.073249</x:v>
      </x:c>
      <x:c r="K59" s="11" t="n">
        <x:v>0</x:v>
      </x:c>
      <x:c r="L59" s="11" t="n">
        <x:v>600</x:v>
      </x:c>
      <x:c r="M59" s="11" t="n">
        <x:v>0</x:v>
      </x:c>
      <x:c r="N59" s="11" t="n">
        <x:v>0</x:v>
      </x:c>
      <x:c r="O59" s="11" t="n">
        <x:v>0</x:v>
      </x:c>
      <x:c r="P59" s="2" t="str">
        <x:v>data</x:v>
      </x:c>
      <x:c r="Q59" s="2" t="str">
        <x:v>periodic</x:v>
      </x:c>
      <x:c r="R59" s="2" t="n">
        <x:v>100</x:v>
      </x:c>
      <x:c r="S59" s="2" t="n">
        <x:v>100</x:v>
      </x:c>
      <x:c r="T59" s="2" t="str">
        <x:v>8</x:v>
      </x:c>
      <x:c r="U59" s="2" t="n">
        <x:v>3</x:v>
      </x:c>
      <x:c r="V59" s="2" t="str">
        <x:v>performance</x:v>
      </x:c>
      <x:c r="W59" s="2" t="n">
        <x:v>0</x:v>
      </x:c>
      <x:c r="X59" s="4" t="b">
        <x:v>0</x:v>
      </x:c>
      <x:c r="Y59" s="4" t="b">
        <x:v>0</x:v>
      </x:c>
      <x:c r="Z59" s="2" t="n">
        <x:v>0</x:v>
      </x:c>
      <x:c r="AA59" s="2" t="str">
        <x:v>boot</x:v>
      </x:c>
      <x:c r="AB59" s="12" t="d">
        <x:v>2026-10-20T03:35:56.445Z</x:v>
      </x:c>
      <x:c r="AC59" s="2" t="str">
        <x:v>main/20261020T033324_238672Z/003_cores_3_r3</x:v>
      </x:c>
      <x:c r="AD59" s="2" t="str">
        <x:v>f9f42bacce48de3308ed4d9c2c7e3e831bc819de1070ad6e69d756bbc5063f4c</x:v>
      </x:c>
      <x:c r="AE59" s="2" t="str">
        <x:v>fc661864e1c5d20e6f3534da91d3eff58e4e483997c3597816e88133ecd7253f</x:v>
      </x:c>
      <x:c r="AF59" s="2"/>
      <x:c r="AG59" s="2"/>
      <x:c r="AH59" s="10" t="n">
        <x:v>0.062661</x:v>
      </x:c>
      <x:c r="AI59" s="10" t="n">
        <x:v>0.098742</x:v>
      </x:c>
      <x:c r="AJ59" s="2" t="n">
        <x:v>0</x:v>
      </x:c>
      <x:c r="AK59" s="2" t="n">
        <x:v>0</x:v>
      </x:c>
      <x:c r="AL59" s="2" t="n">
        <x:v>1104</x:v>
      </x:c>
      <x:c r="AM59" s="2" t="n">
        <x:v>71</x:v>
      </x:c>
      <x:c r="AN59" s="12" t="d">
        <x:v>2026-10-20T03:37:12.523Z</x:v>
      </x:c>
    </x:row>
    <x:row r="60" ht="21" customHeight="1">
      <x:c r="A60" s="2" t="str">
        <x:v>primary</x:v>
      </x:c>
      <x:c r="B60" s="2" t="str">
        <x:v>cores_2</x:v>
      </x:c>
      <x:c r="C60" s="2" t="n">
        <x:v>1</x:v>
      </x:c>
      <x:c r="D60" s="2" t="str">
        <x:v>complete</x:v>
      </x:c>
      <x:c r="E60" s="2" t="n">
        <x:v>60</x:v>
      </x:c>
      <x:c r="F60" s="9" t="n">
        <x:v>0</x:v>
      </x:c>
      <x:c r="G60" s="10" t="n">
        <x:v>0.14839049999999998</x:v>
      </x:c>
      <x:c r="H60" s="10" t="n">
        <x:v>0.185474</x:v>
      </x:c>
      <x:c r="I60" s="10" t="n">
        <x:v>0</x:v>
      </x:c>
      <x:c r="J60" s="10" t="n">
        <x:v>100.033387</x:v>
      </x:c>
      <x:c r="K60" s="11" t="n">
        <x:v>0</x:v>
      </x:c>
      <x:c r="L60" s="11" t="n">
        <x:v>600</x:v>
      </x:c>
      <x:c r="M60" s="11" t="n">
        <x:v>0</x:v>
      </x:c>
      <x:c r="N60" s="11" t="n">
        <x:v>0</x:v>
      </x:c>
      <x:c r="O60" s="11" t="n">
        <x:v>0</x:v>
      </x:c>
      <x:c r="P60" s="2" t="str">
        <x:v>data</x:v>
      </x:c>
      <x:c r="Q60" s="2" t="str">
        <x:v>periodic</x:v>
      </x:c>
      <x:c r="R60" s="2" t="n">
        <x:v>100</x:v>
      </x:c>
      <x:c r="S60" s="2" t="n">
        <x:v>100</x:v>
      </x:c>
      <x:c r="T60" s="2" t="str">
        <x:v>8</x:v>
      </x:c>
      <x:c r="U60" s="2" t="n">
        <x:v>2</x:v>
      </x:c>
      <x:c r="V60" s="2" t="str">
        <x:v>performance</x:v>
      </x:c>
      <x:c r="W60" s="2" t="n">
        <x:v>0</x:v>
      </x:c>
      <x:c r="X60" s="4" t="b">
        <x:v>0</x:v>
      </x:c>
      <x:c r="Y60" s="4" t="b">
        <x:v>0</x:v>
      </x:c>
      <x:c r="Z60" s="2" t="n">
        <x:v>0</x:v>
      </x:c>
      <x:c r="AA60" s="2" t="str">
        <x:v>boot</x:v>
      </x:c>
      <x:c r="AB60" s="12" t="d">
        <x:v>2026-10-20T03:46:07.287Z</x:v>
      </x:c>
      <x:c r="AC60" s="2" t="str">
        <x:v>main/20261020T034607_238340Z/001_cores_2_r1</x:v>
      </x:c>
      <x:c r="AD60" s="2" t="str">
        <x:v>f9f42bacce48de3308ed4d9c2c7e3e831bc819de1070ad6e69d756bbc5063f4c</x:v>
      </x:c>
      <x:c r="AE60" s="2" t="str">
        <x:v>fc661864e1c5d20e6f3534da91d3eff58e4e483997c3597816e88133ecd7253f</x:v>
      </x:c>
      <x:c r="AF60" s="2"/>
      <x:c r="AG60" s="2"/>
      <x:c r="AH60" s="10" t="n">
        <x:v>0.066828</x:v>
      </x:c>
      <x:c r="AI60" s="10" t="n">
        <x:v>0.116976</x:v>
      </x:c>
      <x:c r="AJ60" s="2" t="n">
        <x:v>0</x:v>
      </x:c>
      <x:c r="AK60" s="2" t="n">
        <x:v>0</x:v>
      </x:c>
      <x:c r="AL60" s="2" t="n">
        <x:v>1104</x:v>
      </x:c>
      <x:c r="AM60" s="2" t="n">
        <x:v>70</x:v>
      </x:c>
      <x:c r="AN60" s="12" t="d">
        <x:v>2026-10-20T03:47:23.369Z</x:v>
      </x:c>
    </x:row>
    <x:row r="61" ht="21" customHeight="1">
      <x:c r="A61" s="2" t="str">
        <x:v>primary</x:v>
      </x:c>
      <x:c r="B61" s="2" t="str">
        <x:v>cores_2</x:v>
      </x:c>
      <x:c r="C61" s="2" t="n">
        <x:v>2</x:v>
      </x:c>
      <x:c r="D61" s="2" t="str">
        <x:v>complete</x:v>
      </x:c>
      <x:c r="E61" s="2" t="n">
        <x:v>60</x:v>
      </x:c>
      <x:c r="F61" s="9" t="n">
        <x:v>0</x:v>
      </x:c>
      <x:c r="G61" s="10" t="n">
        <x:v>0.146329</x:v>
      </x:c>
      <x:c r="H61" s="10" t="n">
        <x:v>0.170059</x:v>
      </x:c>
      <x:c r="I61" s="10" t="n">
        <x:v>0</x:v>
      </x:c>
      <x:c r="J61" s="10" t="n">
        <x:v>102.702928</x:v>
      </x:c>
      <x:c r="K61" s="11" t="n">
        <x:v>0</x:v>
      </x:c>
      <x:c r="L61" s="11" t="n">
        <x:v>600</x:v>
      </x:c>
      <x:c r="M61" s="11" t="n">
        <x:v>0</x:v>
      </x:c>
      <x:c r="N61" s="11" t="n">
        <x:v>0</x:v>
      </x:c>
      <x:c r="O61" s="11" t="n">
        <x:v>0</x:v>
      </x:c>
      <x:c r="P61" s="2" t="str">
        <x:v>data</x:v>
      </x:c>
      <x:c r="Q61" s="2" t="str">
        <x:v>periodic</x:v>
      </x:c>
      <x:c r="R61" s="2" t="n">
        <x:v>100</x:v>
      </x:c>
      <x:c r="S61" s="2" t="n">
        <x:v>100</x:v>
      </x:c>
      <x:c r="T61" s="2" t="str">
        <x:v>8</x:v>
      </x:c>
      <x:c r="U61" s="2" t="n">
        <x:v>2</x:v>
      </x:c>
      <x:c r="V61" s="2" t="str">
        <x:v>performance</x:v>
      </x:c>
      <x:c r="W61" s="2" t="n">
        <x:v>0</x:v>
      </x:c>
      <x:c r="X61" s="4" t="b">
        <x:v>0</x:v>
      </x:c>
      <x:c r="Y61" s="4" t="b">
        <x:v>0</x:v>
      </x:c>
      <x:c r="Z61" s="2" t="n">
        <x:v>0</x:v>
      </x:c>
      <x:c r="AA61" s="2" t="str">
        <x:v>boot</x:v>
      </x:c>
      <x:c r="AB61" s="12" t="d">
        <x:v>2026-10-20T03:47:23.369Z</x:v>
      </x:c>
      <x:c r="AC61" s="2" t="str">
        <x:v>main/20261020T034607_238340Z/002_cores_2_r2</x:v>
      </x:c>
      <x:c r="AD61" s="2" t="str">
        <x:v>f9f42bacce48de3308ed4d9c2c7e3e831bc819de1070ad6e69d756bbc5063f4c</x:v>
      </x:c>
      <x:c r="AE61" s="2" t="str">
        <x:v>fc661864e1c5d20e6f3534da91d3eff58e4e483997c3597816e88133ecd7253f</x:v>
      </x:c>
      <x:c r="AF61" s="2"/>
      <x:c r="AG61" s="2"/>
      <x:c r="AH61" s="10" t="n">
        <x:v>0.063624</x:v>
      </x:c>
      <x:c r="AI61" s="10" t="n">
        <x:v>0.106817</x:v>
      </x:c>
      <x:c r="AJ61" s="2" t="n">
        <x:v>0</x:v>
      </x:c>
      <x:c r="AK61" s="2" t="n">
        <x:v>0</x:v>
      </x:c>
      <x:c r="AL61" s="2" t="n">
        <x:v>1104</x:v>
      </x:c>
      <x:c r="AM61" s="2" t="n">
        <x:v>71</x:v>
      </x:c>
      <x:c r="AN61" s="12" t="d">
        <x:v>2026-10-20T03:48:39.456Z</x:v>
      </x:c>
    </x:row>
    <x:row r="62" ht="21" customHeight="1">
      <x:c r="A62" s="2" t="str">
        <x:v>primary</x:v>
      </x:c>
      <x:c r="B62" s="2" t="str">
        <x:v>cores_2</x:v>
      </x:c>
      <x:c r="C62" s="2" t="n">
        <x:v>3</x:v>
      </x:c>
      <x:c r="D62" s="2" t="str">
        <x:v>complete</x:v>
      </x:c>
      <x:c r="E62" s="2" t="n">
        <x:v>60</x:v>
      </x:c>
      <x:c r="F62" s="9" t="n">
        <x:v>0</x:v>
      </x:c>
      <x:c r="G62" s="10" t="n">
        <x:v>0.1516875</x:v>
      </x:c>
      <x:c r="H62" s="10" t="n">
        <x:v>0.177065</x:v>
      </x:c>
      <x:c r="I62" s="10" t="n">
        <x:v>0</x:v>
      </x:c>
      <x:c r="J62" s="10" t="n">
        <x:v>100.368506</x:v>
      </x:c>
      <x:c r="K62" s="11" t="n">
        <x:v>0</x:v>
      </x:c>
      <x:c r="L62" s="11" t="n">
        <x:v>600</x:v>
      </x:c>
      <x:c r="M62" s="11" t="n">
        <x:v>0</x:v>
      </x:c>
      <x:c r="N62" s="11" t="n">
        <x:v>0</x:v>
      </x:c>
      <x:c r="O62" s="11" t="n">
        <x:v>0</x:v>
      </x:c>
      <x:c r="P62" s="2" t="str">
        <x:v>data</x:v>
      </x:c>
      <x:c r="Q62" s="2" t="str">
        <x:v>periodic</x:v>
      </x:c>
      <x:c r="R62" s="2" t="n">
        <x:v>100</x:v>
      </x:c>
      <x:c r="S62" s="2" t="n">
        <x:v>100</x:v>
      </x:c>
      <x:c r="T62" s="2" t="str">
        <x:v>8</x:v>
      </x:c>
      <x:c r="U62" s="2" t="n">
        <x:v>2</x:v>
      </x:c>
      <x:c r="V62" s="2" t="str">
        <x:v>performance</x:v>
      </x:c>
      <x:c r="W62" s="2" t="n">
        <x:v>0</x:v>
      </x:c>
      <x:c r="X62" s="4" t="b">
        <x:v>0</x:v>
      </x:c>
      <x:c r="Y62" s="4" t="b">
        <x:v>0</x:v>
      </x:c>
      <x:c r="Z62" s="2" t="n">
        <x:v>0</x:v>
      </x:c>
      <x:c r="AA62" s="2" t="str">
        <x:v>boot</x:v>
      </x:c>
      <x:c r="AB62" s="12" t="d">
        <x:v>2026-10-20T03:48:39.457Z</x:v>
      </x:c>
      <x:c r="AC62" s="2" t="str">
        <x:v>main/20261020T034607_238340Z/003_cores_2_r3</x:v>
      </x:c>
      <x:c r="AD62" s="2" t="str">
        <x:v>f9f42bacce48de3308ed4d9c2c7e3e831bc819de1070ad6e69d756bbc5063f4c</x:v>
      </x:c>
      <x:c r="AE62" s="2" t="str">
        <x:v>fc661864e1c5d20e6f3534da91d3eff58e4e483997c3597816e88133ecd7253f</x:v>
      </x:c>
      <x:c r="AF62" s="2"/>
      <x:c r="AG62" s="2"/>
      <x:c r="AH62" s="10" t="n">
        <x:v>0.061994</x:v>
      </x:c>
      <x:c r="AI62" s="10" t="n">
        <x:v>0.115442</x:v>
      </x:c>
      <x:c r="AJ62" s="2" t="n">
        <x:v>0</x:v>
      </x:c>
      <x:c r="AK62" s="2" t="n">
        <x:v>5</x:v>
      </x:c>
      <x:c r="AL62" s="2" t="n">
        <x:v>1616</x:v>
      </x:c>
      <x:c r="AM62" s="2" t="n">
        <x:v>71</x:v>
      </x:c>
      <x:c r="AN62" s="12" t="d">
        <x:v>2026-10-20T03:49:55.533Z</x:v>
      </x:c>
    </x:row>
    <x:row r="63" ht="21" customHeight="1">
      <x:c r="A63" s="2" t="str">
        <x:v>primary</x:v>
      </x:c>
      <x:c r="B63" s="2" t="str">
        <x:v>cores_1</x:v>
      </x:c>
      <x:c r="C63" s="2" t="n">
        <x:v>1</x:v>
      </x:c>
      <x:c r="D63" s="2" t="str">
        <x:v>complete</x:v>
      </x:c>
      <x:c r="E63" s="2" t="n">
        <x:v>60</x:v>
      </x:c>
      <x:c r="F63" s="9" t="n">
        <x:v>0</x:v>
      </x:c>
      <x:c r="G63" s="10" t="n">
        <x:v>0.147734</x:v>
      </x:c>
      <x:c r="H63" s="10" t="n">
        <x:v>0.234399</x:v>
      </x:c>
      <x:c r="I63" s="10" t="n">
        <x:v>0</x:v>
      </x:c>
      <x:c r="J63" s="10" t="n">
        <x:v>100.359038</x:v>
      </x:c>
      <x:c r="K63" s="11" t="n">
        <x:v>0</x:v>
      </x:c>
      <x:c r="L63" s="11" t="n">
        <x:v>600</x:v>
      </x:c>
      <x:c r="M63" s="11" t="n">
        <x:v>0</x:v>
      </x:c>
      <x:c r="N63" s="11" t="n">
        <x:v>0</x:v>
      </x:c>
      <x:c r="O63" s="11" t="n">
        <x:v>0</x:v>
      </x:c>
      <x:c r="P63" s="2" t="str">
        <x:v>data</x:v>
      </x:c>
      <x:c r="Q63" s="2" t="str">
        <x:v>periodic</x:v>
      </x:c>
      <x:c r="R63" s="2" t="n">
        <x:v>100</x:v>
      </x:c>
      <x:c r="S63" s="2" t="n">
        <x:v>100</x:v>
      </x:c>
      <x:c r="T63" s="2" t="str">
        <x:v>8</x:v>
      </x:c>
      <x:c r="U63" s="2" t="n">
        <x:v>1</x:v>
      </x:c>
      <x:c r="V63" s="2" t="str">
        <x:v>performance</x:v>
      </x:c>
      <x:c r="W63" s="2" t="n">
        <x:v>0</x:v>
      </x:c>
      <x:c r="X63" s="4" t="b">
        <x:v>0</x:v>
      </x:c>
      <x:c r="Y63" s="4" t="b">
        <x:v>0</x:v>
      </x:c>
      <x:c r="Z63" s="2" t="n">
        <x:v>0</x:v>
      </x:c>
      <x:c r="AA63" s="2" t="str">
        <x:v>boot</x:v>
      </x:c>
      <x:c r="AB63" s="12" t="d">
        <x:v>2026-10-20T03:55:39.220Z</x:v>
      </x:c>
      <x:c r="AC63" s="2" t="str">
        <x:v>main/20261020T035539_165697Z/001_cores_1_r1</x:v>
      </x:c>
      <x:c r="AD63" s="2" t="str">
        <x:v>f9f42bacce48de3308ed4d9c2c7e3e831bc819de1070ad6e69d756bbc5063f4c</x:v>
      </x:c>
      <x:c r="AE63" s="2" t="str">
        <x:v>fc661864e1c5d20e6f3534da91d3eff58e4e483997c3597816e88133ecd7253f</x:v>
      </x:c>
      <x:c r="AF63" s="2"/>
      <x:c r="AG63" s="2"/>
      <x:c r="AH63" s="10" t="n">
        <x:v>0.080278</x:v>
      </x:c>
      <x:c r="AI63" s="10" t="n">
        <x:v>0.154017</x:v>
      </x:c>
      <x:c r="AJ63" s="2" t="n">
        <x:v>0</x:v>
      </x:c>
      <x:c r="AK63" s="2" t="n">
        <x:v>55</x:v>
      </x:c>
      <x:c r="AL63" s="2" t="n">
        <x:v>1616</x:v>
      </x:c>
      <x:c r="AM63" s="2" t="n">
        <x:v>71</x:v>
      </x:c>
      <x:c r="AN63" s="12" t="d">
        <x:v>2026-10-20T03:56:55.303Z</x:v>
      </x:c>
    </x:row>
    <x:row r="64" ht="21" customHeight="1">
      <x:c r="A64" s="2" t="str">
        <x:v>primary</x:v>
      </x:c>
      <x:c r="B64" s="2" t="str">
        <x:v>cores_1</x:v>
      </x:c>
      <x:c r="C64" s="2" t="n">
        <x:v>2</x:v>
      </x:c>
      <x:c r="D64" s="2" t="str">
        <x:v>complete</x:v>
      </x:c>
      <x:c r="E64" s="2" t="n">
        <x:v>60</x:v>
      </x:c>
      <x:c r="F64" s="9" t="n">
        <x:v>0</x:v>
      </x:c>
      <x:c r="G64" s="10" t="n">
        <x:v>0.1447905</x:v>
      </x:c>
      <x:c r="H64" s="10" t="n">
        <x:v>0.217235</x:v>
      </x:c>
      <x:c r="I64" s="10" t="n">
        <x:v>0</x:v>
      </x:c>
      <x:c r="J64" s="10" t="n">
        <x:v>100.112216</x:v>
      </x:c>
      <x:c r="K64" s="11" t="n">
        <x:v>0</x:v>
      </x:c>
      <x:c r="L64" s="11" t="n">
        <x:v>600</x:v>
      </x:c>
      <x:c r="M64" s="11" t="n">
        <x:v>0</x:v>
      </x:c>
      <x:c r="N64" s="11" t="n">
        <x:v>0</x:v>
      </x:c>
      <x:c r="O64" s="11" t="n">
        <x:v>0</x:v>
      </x:c>
      <x:c r="P64" s="2" t="str">
        <x:v>data</x:v>
      </x:c>
      <x:c r="Q64" s="2" t="str">
        <x:v>periodic</x:v>
      </x:c>
      <x:c r="R64" s="2" t="n">
        <x:v>100</x:v>
      </x:c>
      <x:c r="S64" s="2" t="n">
        <x:v>100</x:v>
      </x:c>
      <x:c r="T64" s="2" t="str">
        <x:v>8</x:v>
      </x:c>
      <x:c r="U64" s="2" t="n">
        <x:v>1</x:v>
      </x:c>
      <x:c r="V64" s="2" t="str">
        <x:v>performance</x:v>
      </x:c>
      <x:c r="W64" s="2" t="n">
        <x:v>0</x:v>
      </x:c>
      <x:c r="X64" s="4" t="b">
        <x:v>0</x:v>
      </x:c>
      <x:c r="Y64" s="4" t="b">
        <x:v>0</x:v>
      </x:c>
      <x:c r="Z64" s="2" t="n">
        <x:v>0</x:v>
      </x:c>
      <x:c r="AA64" s="2" t="str">
        <x:v>boot</x:v>
      </x:c>
      <x:c r="AB64" s="12" t="d">
        <x:v>2026-10-20T03:56:55.304Z</x:v>
      </x:c>
      <x:c r="AC64" s="2" t="str">
        <x:v>main/20261020T035539_165697Z/002_cores_1_r2</x:v>
      </x:c>
      <x:c r="AD64" s="2" t="str">
        <x:v>f9f42bacce48de3308ed4d9c2c7e3e831bc819de1070ad6e69d756bbc5063f4c</x:v>
      </x:c>
      <x:c r="AE64" s="2" t="str">
        <x:v>fc661864e1c5d20e6f3534da91d3eff58e4e483997c3597816e88133ecd7253f</x:v>
      </x:c>
      <x:c r="AF64" s="2"/>
      <x:c r="AG64" s="2"/>
      <x:c r="AH64" s="10" t="n">
        <x:v>0.065893</x:v>
      </x:c>
      <x:c r="AI64" s="10" t="n">
        <x:v>0.152226</x:v>
      </x:c>
      <x:c r="AJ64" s="2" t="n">
        <x:v>0</x:v>
      </x:c>
      <x:c r="AK64" s="2" t="n">
        <x:v>25</x:v>
      </x:c>
      <x:c r="AL64" s="2" t="n">
        <x:v>1616</x:v>
      </x:c>
      <x:c r="AM64" s="2" t="n">
        <x:v>71</x:v>
      </x:c>
      <x:c r="AN64" s="12" t="d">
        <x:v>2026-10-20T03:58:11.385Z</x:v>
      </x:c>
    </x:row>
    <x:row r="65" ht="21" customHeight="1">
      <x:c r="A65" s="2" t="str">
        <x:v>primary</x:v>
      </x:c>
      <x:c r="B65" s="2" t="str">
        <x:v>cores_1</x:v>
      </x:c>
      <x:c r="C65" s="2" t="n">
        <x:v>3</x:v>
      </x:c>
      <x:c r="D65" s="2" t="str">
        <x:v>complete</x:v>
      </x:c>
      <x:c r="E65" s="2" t="n">
        <x:v>60</x:v>
      </x:c>
      <x:c r="F65" s="9" t="n">
        <x:v>0</x:v>
      </x:c>
      <x:c r="G65" s="10" t="n">
        <x:v>0.1441695</x:v>
      </x:c>
      <x:c r="H65" s="10" t="n">
        <x:v>0.209922</x:v>
      </x:c>
      <x:c r="I65" s="10" t="n">
        <x:v>0</x:v>
      </x:c>
      <x:c r="J65" s="10" t="n">
        <x:v>100.196406</x:v>
      </x:c>
      <x:c r="K65" s="11" t="n">
        <x:v>0</x:v>
      </x:c>
      <x:c r="L65" s="11" t="n">
        <x:v>600</x:v>
      </x:c>
      <x:c r="M65" s="11" t="n">
        <x:v>0</x:v>
      </x:c>
      <x:c r="N65" s="11" t="n">
        <x:v>0</x:v>
      </x:c>
      <x:c r="O65" s="11" t="n">
        <x:v>0</x:v>
      </x:c>
      <x:c r="P65" s="2" t="str">
        <x:v>data</x:v>
      </x:c>
      <x:c r="Q65" s="2" t="str">
        <x:v>periodic</x:v>
      </x:c>
      <x:c r="R65" s="2" t="n">
        <x:v>100</x:v>
      </x:c>
      <x:c r="S65" s="2" t="n">
        <x:v>100</x:v>
      </x:c>
      <x:c r="T65" s="2" t="str">
        <x:v>8</x:v>
      </x:c>
      <x:c r="U65" s="2" t="n">
        <x:v>1</x:v>
      </x:c>
      <x:c r="V65" s="2" t="str">
        <x:v>performance</x:v>
      </x:c>
      <x:c r="W65" s="2" t="n">
        <x:v>0</x:v>
      </x:c>
      <x:c r="X65" s="4" t="b">
        <x:v>0</x:v>
      </x:c>
      <x:c r="Y65" s="4" t="b">
        <x:v>0</x:v>
      </x:c>
      <x:c r="Z65" s="2" t="n">
        <x:v>0</x:v>
      </x:c>
      <x:c r="AA65" s="2" t="str">
        <x:v>boot</x:v>
      </x:c>
      <x:c r="AB65" s="12" t="d">
        <x:v>2026-10-20T03:58:11.386Z</x:v>
      </x:c>
      <x:c r="AC65" s="2" t="str">
        <x:v>main/20261020T035539_165697Z/003_cores_1_r3</x:v>
      </x:c>
      <x:c r="AD65" s="2" t="str">
        <x:v>f9f42bacce48de3308ed4d9c2c7e3e831bc819de1070ad6e69d756bbc5063f4c</x:v>
      </x:c>
      <x:c r="AE65" s="2" t="str">
        <x:v>fc661864e1c5d20e6f3534da91d3eff58e4e483997c3597816e88133ecd7253f</x:v>
      </x:c>
      <x:c r="AF65" s="2"/>
      <x:c r="AG65" s="2"/>
      <x:c r="AH65" s="10" t="n">
        <x:v>0.07048</x:v>
      </x:c>
      <x:c r="AI65" s="10" t="n">
        <x:v>0.148486</x:v>
      </x:c>
      <x:c r="AJ65" s="2" t="n">
        <x:v>0</x:v>
      </x:c>
      <x:c r="AK65" s="2" t="n">
        <x:v>32</x:v>
      </x:c>
      <x:c r="AL65" s="2" t="n">
        <x:v>1616</x:v>
      </x:c>
      <x:c r="AM65" s="2" t="n">
        <x:v>71</x:v>
      </x:c>
      <x:c r="AN65" s="12" t="d">
        <x:v>2026-10-20T03:59:27.461Z</x:v>
      </x:c>
    </x:row>
    <x:row r="66" ht="21" customHeight="1">
      <x:c r="A66" s="2" t="str">
        <x:v>primary</x:v>
      </x:c>
      <x:c r="B66" s="2" t="str">
        <x:v>ram_4</x:v>
      </x:c>
      <x:c r="C66" s="2" t="n">
        <x:v>1</x:v>
      </x:c>
      <x:c r="D66" s="2" t="str">
        <x:v>complete</x:v>
      </x:c>
      <x:c r="E66" s="2" t="n">
        <x:v>60</x:v>
      </x:c>
      <x:c r="F66" s="9" t="n">
        <x:v>0</x:v>
      </x:c>
      <x:c r="G66" s="10" t="n">
        <x:v>0.1449545</x:v>
      </x:c>
      <x:c r="H66" s="10" t="n">
        <x:v>0.222837</x:v>
      </x:c>
      <x:c r="I66" s="10" t="n">
        <x:v>0</x:v>
      </x:c>
      <x:c r="J66" s="10" t="n">
        <x:v>100.16506</x:v>
      </x:c>
      <x:c r="K66" s="11" t="n">
        <x:v>0</x:v>
      </x:c>
      <x:c r="L66" s="11" t="n">
        <x:v>600</x:v>
      </x:c>
      <x:c r="M66" s="11" t="n">
        <x:v>0</x:v>
      </x:c>
      <x:c r="N66" s="11" t="n">
        <x:v>0</x:v>
      </x:c>
      <x:c r="O66" s="11" t="n">
        <x:v>0</x:v>
      </x:c>
      <x:c r="P66" s="2" t="str">
        <x:v>data</x:v>
      </x:c>
      <x:c r="Q66" s="2" t="str">
        <x:v>periodic</x:v>
      </x:c>
      <x:c r="R66" s="2" t="n">
        <x:v>100</x:v>
      </x:c>
      <x:c r="S66" s="2" t="n">
        <x:v>100</x:v>
      </x:c>
      <x:c r="T66" s="2" t="str">
        <x:v>4</x:v>
      </x:c>
      <x:c r="U66" s="2" t="n">
        <x:v>4</x:v>
      </x:c>
      <x:c r="V66" s="2" t="str">
        <x:v>performance</x:v>
      </x:c>
      <x:c r="W66" s="2" t="n">
        <x:v>0</x:v>
      </x:c>
      <x:c r="X66" s="4" t="b">
        <x:v>0</x:v>
      </x:c>
      <x:c r="Y66" s="4" t="b">
        <x:v>0</x:v>
      </x:c>
      <x:c r="Z66" s="2" t="n">
        <x:v>0</x:v>
      </x:c>
      <x:c r="AA66" s="2" t="str">
        <x:v>boot</x:v>
      </x:c>
      <x:c r="AB66" s="12" t="d">
        <x:v>2026-10-20T04:02:24.638Z</x:v>
      </x:c>
      <x:c r="AC66" s="2" t="str">
        <x:v>main/20261020T040224_580837Z/001_ram_4_r1</x:v>
      </x:c>
      <x:c r="AD66" s="2" t="str">
        <x:v>f9f42bacce48de3308ed4d9c2c7e3e831bc819de1070ad6e69d756bbc5063f4c</x:v>
      </x:c>
      <x:c r="AE66" s="2" t="str">
        <x:v>fc661864e1c5d20e6f3534da91d3eff58e4e483997c3597816e88133ecd7253f</x:v>
      </x:c>
      <x:c r="AF66" s="2"/>
      <x:c r="AG66" s="2"/>
      <x:c r="AH66" s="10" t="n">
        <x:v>0.074345</x:v>
      </x:c>
      <x:c r="AI66" s="10" t="n">
        <x:v>0.156847</x:v>
      </x:c>
      <x:c r="AJ66" s="2" t="n">
        <x:v>0</x:v>
      </x:c>
      <x:c r="AK66" s="2" t="n">
        <x:v>0</x:v>
      </x:c>
      <x:c r="AL66" s="2" t="n">
        <x:v>1104</x:v>
      </x:c>
      <x:c r="AM66" s="2" t="n">
        <x:v>72</x:v>
      </x:c>
      <x:c r="AN66" s="12" t="d">
        <x:v>2026-10-20T04:03:40.726Z</x:v>
      </x:c>
    </x:row>
    <x:row r="67" ht="21" customHeight="1">
      <x:c r="A67" s="2" t="str">
        <x:v>primary</x:v>
      </x:c>
      <x:c r="B67" s="2" t="str">
        <x:v>ram_4</x:v>
      </x:c>
      <x:c r="C67" s="2" t="n">
        <x:v>2</x:v>
      </x:c>
      <x:c r="D67" s="2" t="str">
        <x:v>complete</x:v>
      </x:c>
      <x:c r="E67" s="2" t="n">
        <x:v>60</x:v>
      </x:c>
      <x:c r="F67" s="9" t="n">
        <x:v>0</x:v>
      </x:c>
      <x:c r="G67" s="10" t="n">
        <x:v>0.142662</x:v>
      </x:c>
      <x:c r="H67" s="10" t="n">
        <x:v>0.205653</x:v>
      </x:c>
      <x:c r="I67" s="10" t="n">
        <x:v>0</x:v>
      </x:c>
      <x:c r="J67" s="10" t="n">
        <x:v>103.128378</x:v>
      </x:c>
      <x:c r="K67" s="11" t="n">
        <x:v>0</x:v>
      </x:c>
      <x:c r="L67" s="11" t="n">
        <x:v>600</x:v>
      </x:c>
      <x:c r="M67" s="11" t="n">
        <x:v>0</x:v>
      </x:c>
      <x:c r="N67" s="11" t="n">
        <x:v>0</x:v>
      </x:c>
      <x:c r="O67" s="11" t="n">
        <x:v>0</x:v>
      </x:c>
      <x:c r="P67" s="2" t="str">
        <x:v>data</x:v>
      </x:c>
      <x:c r="Q67" s="2" t="str">
        <x:v>periodic</x:v>
      </x:c>
      <x:c r="R67" s="2" t="n">
        <x:v>100</x:v>
      </x:c>
      <x:c r="S67" s="2" t="n">
        <x:v>100</x:v>
      </x:c>
      <x:c r="T67" s="2" t="str">
        <x:v>4</x:v>
      </x:c>
      <x:c r="U67" s="2" t="n">
        <x:v>4</x:v>
      </x:c>
      <x:c r="V67" s="2" t="str">
        <x:v>performance</x:v>
      </x:c>
      <x:c r="W67" s="2" t="n">
        <x:v>0</x:v>
      </x:c>
      <x:c r="X67" s="4" t="b">
        <x:v>0</x:v>
      </x:c>
      <x:c r="Y67" s="4" t="b">
        <x:v>0</x:v>
      </x:c>
      <x:c r="Z67" s="2" t="n">
        <x:v>0</x:v>
      </x:c>
      <x:c r="AA67" s="2" t="str">
        <x:v>boot</x:v>
      </x:c>
      <x:c r="AB67" s="12" t="d">
        <x:v>2026-10-20T04:03:40.727Z</x:v>
      </x:c>
      <x:c r="AC67" s="2" t="str">
        <x:v>main/20261020T040224_580837Z/002_ram_4_r2</x:v>
      </x:c>
      <x:c r="AD67" s="2" t="str">
        <x:v>f9f42bacce48de3308ed4d9c2c7e3e831bc819de1070ad6e69d756bbc5063f4c</x:v>
      </x:c>
      <x:c r="AE67" s="2" t="str">
        <x:v>fc661864e1c5d20e6f3534da91d3eff58e4e483997c3597816e88133ecd7253f</x:v>
      </x:c>
      <x:c r="AF67" s="2"/>
      <x:c r="AG67" s="2"/>
      <x:c r="AH67" s="10" t="n">
        <x:v>0.071078</x:v>
      </x:c>
      <x:c r="AI67" s="10" t="n">
        <x:v>0.123248</x:v>
      </x:c>
      <x:c r="AJ67" s="2" t="n">
        <x:v>0</x:v>
      </x:c>
      <x:c r="AK67" s="2" t="n">
        <x:v>1</x:v>
      </x:c>
      <x:c r="AL67" s="2" t="n">
        <x:v>1104</x:v>
      </x:c>
      <x:c r="AM67" s="2" t="n">
        <x:v>72</x:v>
      </x:c>
      <x:c r="AN67" s="12" t="d">
        <x:v>2026-10-20T04:04:56.814Z</x:v>
      </x:c>
    </x:row>
    <x:row r="68" ht="21" customHeight="1">
      <x:c r="A68" s="2" t="str">
        <x:v>primary</x:v>
      </x:c>
      <x:c r="B68" s="2" t="str">
        <x:v>ram_4</x:v>
      </x:c>
      <x:c r="C68" s="2" t="n">
        <x:v>3</x:v>
      </x:c>
      <x:c r="D68" s="2" t="str">
        <x:v>complete</x:v>
      </x:c>
      <x:c r="E68" s="2" t="n">
        <x:v>60</x:v>
      </x:c>
      <x:c r="F68" s="9" t="n">
        <x:v>0</x:v>
      </x:c>
      <x:c r="G68" s="10" t="n">
        <x:v>0.1420905</x:v>
      </x:c>
      <x:c r="H68" s="10" t="n">
        <x:v>0.162102</x:v>
      </x:c>
      <x:c r="I68" s="10" t="n">
        <x:v>0</x:v>
      </x:c>
      <x:c r="J68" s="10" t="n">
        <x:v>100.066863</x:v>
      </x:c>
      <x:c r="K68" s="11" t="n">
        <x:v>0</x:v>
      </x:c>
      <x:c r="L68" s="11" t="n">
        <x:v>600</x:v>
      </x:c>
      <x:c r="M68" s="11" t="n">
        <x:v>0</x:v>
      </x:c>
      <x:c r="N68" s="11" t="n">
        <x:v>0</x:v>
      </x:c>
      <x:c r="O68" s="11" t="n">
        <x:v>0</x:v>
      </x:c>
      <x:c r="P68" s="2" t="str">
        <x:v>data</x:v>
      </x:c>
      <x:c r="Q68" s="2" t="str">
        <x:v>periodic</x:v>
      </x:c>
      <x:c r="R68" s="2" t="n">
        <x:v>100</x:v>
      </x:c>
      <x:c r="S68" s="2" t="n">
        <x:v>100</x:v>
      </x:c>
      <x:c r="T68" s="2" t="str">
        <x:v>4</x:v>
      </x:c>
      <x:c r="U68" s="2" t="n">
        <x:v>4</x:v>
      </x:c>
      <x:c r="V68" s="2" t="str">
        <x:v>performance</x:v>
      </x:c>
      <x:c r="W68" s="2" t="n">
        <x:v>0</x:v>
      </x:c>
      <x:c r="X68" s="4" t="b">
        <x:v>0</x:v>
      </x:c>
      <x:c r="Y68" s="4" t="b">
        <x:v>0</x:v>
      </x:c>
      <x:c r="Z68" s="2" t="n">
        <x:v>0</x:v>
      </x:c>
      <x:c r="AA68" s="2" t="str">
        <x:v>boot</x:v>
      </x:c>
      <x:c r="AB68" s="12" t="d">
        <x:v>2026-10-20T04:04:56.815Z</x:v>
      </x:c>
      <x:c r="AC68" s="2" t="str">
        <x:v>main/20261020T040224_580837Z/003_ram_4_r3</x:v>
      </x:c>
      <x:c r="AD68" s="2" t="str">
        <x:v>f9f42bacce48de3308ed4d9c2c7e3e831bc819de1070ad6e69d756bbc5063f4c</x:v>
      </x:c>
      <x:c r="AE68" s="2" t="str">
        <x:v>fc661864e1c5d20e6f3534da91d3eff58e4e483997c3597816e88133ecd7253f</x:v>
      </x:c>
      <x:c r="AF68" s="2"/>
      <x:c r="AG68" s="2"/>
      <x:c r="AH68" s="10" t="n">
        <x:v>0.063637</x:v>
      </x:c>
      <x:c r="AI68" s="10" t="n">
        <x:v>0.101557</x:v>
      </x:c>
      <x:c r="AJ68" s="2" t="n">
        <x:v>0</x:v>
      </x:c>
      <x:c r="AK68" s="2" t="n">
        <x:v>0</x:v>
      </x:c>
      <x:c r="AL68" s="2" t="n">
        <x:v>1104</x:v>
      </x:c>
      <x:c r="AM68" s="2" t="n">
        <x:v>71</x:v>
      </x:c>
      <x:c r="AN68" s="12" t="d">
        <x:v>2026-10-20T04:06:12.900Z</x:v>
      </x:c>
    </x:row>
    <x:row r="69" ht="21" customHeight="1">
      <x:c r="A69" s="2" t="str">
        <x:v>primary</x:v>
      </x:c>
      <x:c r="B69" s="2" t="str">
        <x:v>ram_2</x:v>
      </x:c>
      <x:c r="C69" s="2" t="n">
        <x:v>1</x:v>
      </x:c>
      <x:c r="D69" s="2" t="str">
        <x:v>complete</x:v>
      </x:c>
      <x:c r="E69" s="2" t="n">
        <x:v>60</x:v>
      </x:c>
      <x:c r="F69" s="9" t="n">
        <x:v>0</x:v>
      </x:c>
      <x:c r="G69" s="10" t="n">
        <x:v>0.0987565</x:v>
      </x:c>
      <x:c r="H69" s="10" t="n">
        <x:v>0.340124</x:v>
      </x:c>
      <x:c r="I69" s="10" t="n">
        <x:v>0</x:v>
      </x:c>
      <x:c r="J69" s="10" t="n">
        <x:v>103.539944</x:v>
      </x:c>
      <x:c r="K69" s="11" t="n">
        <x:v>0</x:v>
      </x:c>
      <x:c r="L69" s="11" t="n">
        <x:v>600</x:v>
      </x:c>
      <x:c r="M69" s="11" t="n">
        <x:v>0</x:v>
      </x:c>
      <x:c r="N69" s="11" t="n">
        <x:v>0</x:v>
      </x:c>
      <x:c r="O69" s="11" t="n">
        <x:v>0</x:v>
      </x:c>
      <x:c r="P69" s="2" t="str">
        <x:v>data</x:v>
      </x:c>
      <x:c r="Q69" s="2" t="str">
        <x:v>periodic</x:v>
      </x:c>
      <x:c r="R69" s="2" t="n">
        <x:v>100</x:v>
      </x:c>
      <x:c r="S69" s="2" t="n">
        <x:v>100</x:v>
      </x:c>
      <x:c r="T69" s="2" t="str">
        <x:v>2</x:v>
      </x:c>
      <x:c r="U69" s="2" t="n">
        <x:v>4</x:v>
      </x:c>
      <x:c r="V69" s="2" t="str">
        <x:v>performance</x:v>
      </x:c>
      <x:c r="W69" s="2" t="n">
        <x:v>0</x:v>
      </x:c>
      <x:c r="X69" s="4" t="b">
        <x:v>0</x:v>
      </x:c>
      <x:c r="Y69" s="4" t="b">
        <x:v>0</x:v>
      </x:c>
      <x:c r="Z69" s="2" t="n">
        <x:v>0</x:v>
      </x:c>
      <x:c r="AA69" s="2" t="str">
        <x:v>boot</x:v>
      </x:c>
      <x:c r="AB69" s="12" t="d">
        <x:v>2026-10-20T04:10:21.662Z</x:v>
      </x:c>
      <x:c r="AC69" s="2" t="str">
        <x:v>main/20261020T041021_411416Z/001_ram_2_r1</x:v>
      </x:c>
      <x:c r="AD69" s="2" t="str">
        <x:v>f9f42bacce48de3308ed4d9c2c7e3e831bc819de1070ad6e69d756bbc5063f4c</x:v>
      </x:c>
      <x:c r="AE69" s="2" t="str">
        <x:v>fc661864e1c5d20e6f3534da91d3eff58e4e483997c3597816e88133ecd7253f</x:v>
      </x:c>
      <x:c r="AF69" s="2"/>
      <x:c r="AG69" s="2"/>
      <x:c r="AH69" s="10" t="n">
        <x:v>0.080475</x:v>
      </x:c>
      <x:c r="AI69" s="10" t="n">
        <x:v>0.210934</x:v>
      </x:c>
      <x:c r="AJ69" s="2" t="n">
        <x:v>3</x:v>
      </x:c>
      <x:c r="AK69" s="2" t="n">
        <x:v>2</x:v>
      </x:c>
      <x:c r="AL69" s="2" t="n">
        <x:v>1088</x:v>
      </x:c>
      <x:c r="AM69" s="2" t="n">
        <x:v>71</x:v>
      </x:c>
      <x:c r="AN69" s="12" t="d">
        <x:v>2026-10-20T04:11:37.787Z</x:v>
      </x:c>
    </x:row>
    <x:row r="70" ht="21" customHeight="1">
      <x:c r="A70" s="2" t="str">
        <x:v>primary</x:v>
      </x:c>
      <x:c r="B70" s="2" t="str">
        <x:v>ram_2</x:v>
      </x:c>
      <x:c r="C70" s="2" t="n">
        <x:v>2</x:v>
      </x:c>
      <x:c r="D70" s="2" t="str">
        <x:v>complete</x:v>
      </x:c>
      <x:c r="E70" s="2" t="n">
        <x:v>60</x:v>
      </x:c>
      <x:c r="F70" s="9" t="n">
        <x:v>0</x:v>
      </x:c>
      <x:c r="G70" s="10" t="n">
        <x:v>0.1458585</x:v>
      </x:c>
      <x:c r="H70" s="10" t="n">
        <x:v>0.18607</x:v>
      </x:c>
      <x:c r="I70" s="10" t="n">
        <x:v>0</x:v>
      </x:c>
      <x:c r="J70" s="10" t="n">
        <x:v>100.086671</x:v>
      </x:c>
      <x:c r="K70" s="11" t="n">
        <x:v>0</x:v>
      </x:c>
      <x:c r="L70" s="11" t="n">
        <x:v>600</x:v>
      </x:c>
      <x:c r="M70" s="11" t="n">
        <x:v>0</x:v>
      </x:c>
      <x:c r="N70" s="11" t="n">
        <x:v>0</x:v>
      </x:c>
      <x:c r="O70" s="11" t="n">
        <x:v>0</x:v>
      </x:c>
      <x:c r="P70" s="2" t="str">
        <x:v>data</x:v>
      </x:c>
      <x:c r="Q70" s="2" t="str">
        <x:v>periodic</x:v>
      </x:c>
      <x:c r="R70" s="2" t="n">
        <x:v>100</x:v>
      </x:c>
      <x:c r="S70" s="2" t="n">
        <x:v>100</x:v>
      </x:c>
      <x:c r="T70" s="2" t="str">
        <x:v>2</x:v>
      </x:c>
      <x:c r="U70" s="2" t="n">
        <x:v>4</x:v>
      </x:c>
      <x:c r="V70" s="2" t="str">
        <x:v>performance</x:v>
      </x:c>
      <x:c r="W70" s="2" t="n">
        <x:v>0</x:v>
      </x:c>
      <x:c r="X70" s="4" t="b">
        <x:v>0</x:v>
      </x:c>
      <x:c r="Y70" s="4" t="b">
        <x:v>0</x:v>
      </x:c>
      <x:c r="Z70" s="2" t="n">
        <x:v>0</x:v>
      </x:c>
      <x:c r="AA70" s="2" t="str">
        <x:v>boot</x:v>
      </x:c>
      <x:c r="AB70" s="12" t="d">
        <x:v>2026-10-20T04:11:37.813Z</x:v>
      </x:c>
      <x:c r="AC70" s="2" t="str">
        <x:v>main/20261020T041021_411416Z/002_ram_2_r2</x:v>
      </x:c>
      <x:c r="AD70" s="2" t="str">
        <x:v>f9f42bacce48de3308ed4d9c2c7e3e831bc819de1070ad6e69d756bbc5063f4c</x:v>
      </x:c>
      <x:c r="AE70" s="2" t="str">
        <x:v>fc661864e1c5d20e6f3534da91d3eff58e4e483997c3597816e88133ecd7253f</x:v>
      </x:c>
      <x:c r="AF70" s="2"/>
      <x:c r="AG70" s="2"/>
      <x:c r="AH70" s="10" t="n">
        <x:v>0.06337</x:v>
      </x:c>
      <x:c r="AI70" s="10" t="n">
        <x:v>0.122217</x:v>
      </x:c>
      <x:c r="AJ70" s="2" t="n">
        <x:v>0</x:v>
      </x:c>
      <x:c r="AK70" s="2" t="n">
        <x:v>1</x:v>
      </x:c>
      <x:c r="AL70" s="2" t="n">
        <x:v>1616</x:v>
      </x:c>
      <x:c r="AM70" s="2" t="n">
        <x:v>71</x:v>
      </x:c>
      <x:c r="AN70" s="12" t="d">
        <x:v>2026-10-20T04:12:53.922Z</x:v>
      </x:c>
    </x:row>
    <x:row r="71" ht="21" customHeight="1">
      <x:c r="A71" s="2" t="str">
        <x:v>primary</x:v>
      </x:c>
      <x:c r="B71" s="2" t="str">
        <x:v>ram_2</x:v>
      </x:c>
      <x:c r="C71" s="2" t="n">
        <x:v>3</x:v>
      </x:c>
      <x:c r="D71" s="2" t="str">
        <x:v>complete</x:v>
      </x:c>
      <x:c r="E71" s="2" t="n">
        <x:v>60</x:v>
      </x:c>
      <x:c r="F71" s="9" t="n">
        <x:v>0</x:v>
      </x:c>
      <x:c r="G71" s="10" t="n">
        <x:v>0.1470985</x:v>
      </x:c>
      <x:c r="H71" s="10" t="n">
        <x:v>0.191608</x:v>
      </x:c>
      <x:c r="I71" s="10" t="n">
        <x:v>0</x:v>
      </x:c>
      <x:c r="J71" s="10" t="n">
        <x:v>103.221642</x:v>
      </x:c>
      <x:c r="K71" s="11" t="n">
        <x:v>0</x:v>
      </x:c>
      <x:c r="L71" s="11" t="n">
        <x:v>600</x:v>
      </x:c>
      <x:c r="M71" s="11" t="n">
        <x:v>0</x:v>
      </x:c>
      <x:c r="N71" s="11" t="n">
        <x:v>0</x:v>
      </x:c>
      <x:c r="O71" s="11" t="n">
        <x:v>0</x:v>
      </x:c>
      <x:c r="P71" s="2" t="str">
        <x:v>data</x:v>
      </x:c>
      <x:c r="Q71" s="2" t="str">
        <x:v>periodic</x:v>
      </x:c>
      <x:c r="R71" s="2" t="n">
        <x:v>100</x:v>
      </x:c>
      <x:c r="S71" s="2" t="n">
        <x:v>100</x:v>
      </x:c>
      <x:c r="T71" s="2" t="str">
        <x:v>2</x:v>
      </x:c>
      <x:c r="U71" s="2" t="n">
        <x:v>4</x:v>
      </x:c>
      <x:c r="V71" s="2" t="str">
        <x:v>performance</x:v>
      </x:c>
      <x:c r="W71" s="2" t="n">
        <x:v>0</x:v>
      </x:c>
      <x:c r="X71" s="4" t="b">
        <x:v>0</x:v>
      </x:c>
      <x:c r="Y71" s="4" t="b">
        <x:v>0</x:v>
      </x:c>
      <x:c r="Z71" s="2" t="n">
        <x:v>0</x:v>
      </x:c>
      <x:c r="AA71" s="2" t="str">
        <x:v>boot</x:v>
      </x:c>
      <x:c r="AB71" s="12" t="d">
        <x:v>2026-10-20T04:12:53.922Z</x:v>
      </x:c>
      <x:c r="AC71" s="2" t="str">
        <x:v>main/20261020T041021_411416Z/003_ram_2_r3</x:v>
      </x:c>
      <x:c r="AD71" s="2" t="str">
        <x:v>f9f42bacce48de3308ed4d9c2c7e3e831bc819de1070ad6e69d756bbc5063f4c</x:v>
      </x:c>
      <x:c r="AE71" s="2" t="str">
        <x:v>fc661864e1c5d20e6f3534da91d3eff58e4e483997c3597816e88133ecd7253f</x:v>
      </x:c>
      <x:c r="AF71" s="2"/>
      <x:c r="AG71" s="2"/>
      <x:c r="AH71" s="10" t="n">
        <x:v>0.063682</x:v>
      </x:c>
      <x:c r="AI71" s="10" t="n">
        <x:v>0.127926</x:v>
      </x:c>
      <x:c r="AJ71" s="2" t="n">
        <x:v>0</x:v>
      </x:c>
      <x:c r="AK71" s="2" t="n">
        <x:v>0</x:v>
      </x:c>
      <x:c r="AL71" s="2" t="n">
        <x:v>1088</x:v>
      </x:c>
      <x:c r="AM71" s="2" t="n">
        <x:v>71</x:v>
      </x:c>
      <x:c r="AN71" s="12" t="d">
        <x:v>2026-10-20T04:14:10.007Z</x:v>
      </x:c>
    </x:row>
    <x:row r="72" ht="21" customHeight="1">
      <x:c r="A72" s="2" t="str">
        <x:v>primary</x:v>
      </x:c>
      <x:c r="B72" s="2" t="str">
        <x:v>ram_1.5</x:v>
      </x:c>
      <x:c r="C72" s="2" t="n">
        <x:v>1</x:v>
      </x:c>
      <x:c r="D72" s="2" t="str">
        <x:v>complete</x:v>
      </x:c>
      <x:c r="E72" s="2" t="n">
        <x:v>60</x:v>
      </x:c>
      <x:c r="F72" s="9" t="n">
        <x:v>0.01</x:v>
      </x:c>
      <x:c r="G72" s="10" t="n">
        <x:v>0.09178149999999999</x:v>
      </x:c>
      <x:c r="H72" s="10" t="n">
        <x:v>0.497044</x:v>
      </x:c>
      <x:c r="I72" s="10" t="n">
        <x:v>245.159335</x:v>
      </x:c>
      <x:c r="J72" s="10" t="n">
        <x:v>444.745896</x:v>
      </x:c>
      <x:c r="K72" s="11" t="n">
        <x:v>4</x:v>
      </x:c>
      <x:c r="L72" s="11" t="n">
        <x:v>600</x:v>
      </x:c>
      <x:c r="M72" s="11" t="n">
        <x:v>6</x:v>
      </x:c>
      <x:c r="N72" s="11" t="n">
        <x:v>4</x:v>
      </x:c>
      <x:c r="O72" s="11" t="n">
        <x:v>0</x:v>
      </x:c>
      <x:c r="P72" s="2" t="str">
        <x:v>data</x:v>
      </x:c>
      <x:c r="Q72" s="2" t="str">
        <x:v>periodic</x:v>
      </x:c>
      <x:c r="R72" s="2" t="n">
        <x:v>100</x:v>
      </x:c>
      <x:c r="S72" s="2" t="n">
        <x:v>100</x:v>
      </x:c>
      <x:c r="T72" s="2" t="str">
        <x:v>1.5</x:v>
      </x:c>
      <x:c r="U72" s="2" t="n">
        <x:v>4</x:v>
      </x:c>
      <x:c r="V72" s="2" t="str">
        <x:v>performance</x:v>
      </x:c>
      <x:c r="W72" s="2" t="n">
        <x:v>0</x:v>
      </x:c>
      <x:c r="X72" s="4" t="b">
        <x:v>0</x:v>
      </x:c>
      <x:c r="Y72" s="4" t="b">
        <x:v>0</x:v>
      </x:c>
      <x:c r="Z72" s="2" t="n">
        <x:v>0</x:v>
      </x:c>
      <x:c r="AA72" s="2" t="str">
        <x:v>boot</x:v>
      </x:c>
      <x:c r="AB72" s="12" t="d">
        <x:v>2026-10-20T04:16:06.976Z</x:v>
      </x:c>
      <x:c r="AC72" s="2" t="str">
        <x:v>main/20261020T041606_669096Z/001_ram_1.5_r1</x:v>
      </x:c>
      <x:c r="AD72" s="2" t="str">
        <x:v>f9f42bacce48de3308ed4d9c2c7e3e831bc819de1070ad6e69d756bbc5063f4c</x:v>
      </x:c>
      <x:c r="AE72" s="2" t="str">
        <x:v>fc661864e1c5d20e6f3534da91d3eff58e4e483997c3597816e88133ecd7253f</x:v>
      </x:c>
      <x:c r="AF72" s="2"/>
      <x:c r="AG72" s="2"/>
      <x:c r="AH72" s="10" t="n">
        <x:v>0.096392</x:v>
      </x:c>
      <x:c r="AI72" s="10" t="n">
        <x:v>0.388314</x:v>
      </x:c>
      <x:c r="AJ72" s="2" t="n">
        <x:v>2</x:v>
      </x:c>
      <x:c r="AK72" s="2" t="n">
        <x:v>2</x:v>
      </x:c>
      <x:c r="AL72" s="2" t="n">
        <x:v>1600</x:v>
      </x:c>
      <x:c r="AM72" s="2" t="n">
        <x:v>71</x:v>
      </x:c>
      <x:c r="AN72" s="12" t="d">
        <x:v>2026-10-20T04:17:22.369Z</x:v>
      </x:c>
    </x:row>
    <x:row r="73" ht="21" customHeight="1">
      <x:c r="A73" s="2" t="str">
        <x:v>primary</x:v>
      </x:c>
      <x:c r="B73" s="2" t="str">
        <x:v>ram_1.5</x:v>
      </x:c>
      <x:c r="C73" s="2" t="n">
        <x:v>2</x:v>
      </x:c>
      <x:c r="D73" s="2" t="str">
        <x:v>complete</x:v>
      </x:c>
      <x:c r="E73" s="2" t="n">
        <x:v>60</x:v>
      </x:c>
      <x:c r="F73" s="9" t="n">
        <x:v>0</x:v>
      </x:c>
      <x:c r="G73" s="10" t="n">
        <x:v>0.14737850000000002</x:v>
      </x:c>
      <x:c r="H73" s="10" t="n">
        <x:v>0.329681</x:v>
      </x:c>
      <x:c r="I73" s="10" t="n">
        <x:v>0</x:v>
      </x:c>
      <x:c r="J73" s="10" t="n">
        <x:v>100.567617</x:v>
      </x:c>
      <x:c r="K73" s="11" t="n">
        <x:v>0</x:v>
      </x:c>
      <x:c r="L73" s="11" t="n">
        <x:v>600</x:v>
      </x:c>
      <x:c r="M73" s="11" t="n">
        <x:v>0</x:v>
      </x:c>
      <x:c r="N73" s="11" t="n">
        <x:v>0</x:v>
      </x:c>
      <x:c r="O73" s="11" t="n">
        <x:v>0</x:v>
      </x:c>
      <x:c r="P73" s="2" t="str">
        <x:v>data</x:v>
      </x:c>
      <x:c r="Q73" s="2" t="str">
        <x:v>periodic</x:v>
      </x:c>
      <x:c r="R73" s="2" t="n">
        <x:v>100</x:v>
      </x:c>
      <x:c r="S73" s="2" t="n">
        <x:v>100</x:v>
      </x:c>
      <x:c r="T73" s="2" t="str">
        <x:v>1.5</x:v>
      </x:c>
      <x:c r="U73" s="2" t="n">
        <x:v>4</x:v>
      </x:c>
      <x:c r="V73" s="2" t="str">
        <x:v>performance</x:v>
      </x:c>
      <x:c r="W73" s="2" t="n">
        <x:v>0</x:v>
      </x:c>
      <x:c r="X73" s="4" t="b">
        <x:v>0</x:v>
      </x:c>
      <x:c r="Y73" s="4" t="b">
        <x:v>0</x:v>
      </x:c>
      <x:c r="Z73" s="2" t="n">
        <x:v>0</x:v>
      </x:c>
      <x:c r="AA73" s="2" t="str">
        <x:v>boot</x:v>
      </x:c>
      <x:c r="AB73" s="12" t="d">
        <x:v>2026-10-20T04:17:22.404Z</x:v>
      </x:c>
      <x:c r="AC73" s="2" t="str">
        <x:v>main/20261020T041606_669096Z/002_ram_1.5_r2</x:v>
      </x:c>
      <x:c r="AD73" s="2" t="str">
        <x:v>f9f42bacce48de3308ed4d9c2c7e3e831bc819de1070ad6e69d756bbc5063f4c</x:v>
      </x:c>
      <x:c r="AE73" s="2" t="str">
        <x:v>fc661864e1c5d20e6f3534da91d3eff58e4e483997c3597816e88133ecd7253f</x:v>
      </x:c>
      <x:c r="AF73" s="2"/>
      <x:c r="AG73" s="2"/>
      <x:c r="AH73" s="10" t="n">
        <x:v>0.087223</x:v>
      </x:c>
      <x:c r="AI73" s="10" t="n">
        <x:v>0.250059</x:v>
      </x:c>
      <x:c r="AJ73" s="2" t="n">
        <x:v>0</x:v>
      </x:c>
      <x:c r="AK73" s="2" t="n">
        <x:v>1</x:v>
      </x:c>
      <x:c r="AL73" s="2" t="n">
        <x:v>1104</x:v>
      </x:c>
      <x:c r="AM73" s="2" t="n">
        <x:v>71</x:v>
      </x:c>
      <x:c r="AN73" s="12" t="d">
        <x:v>2026-10-20T04:18:38.511Z</x:v>
      </x:c>
    </x:row>
    <x:row r="74" ht="21" customHeight="1">
      <x:c r="A74" s="2" t="str">
        <x:v>primary</x:v>
      </x:c>
      <x:c r="B74" s="2" t="str">
        <x:v>ram_1.5</x:v>
      </x:c>
      <x:c r="C74" s="2" t="n">
        <x:v>3</x:v>
      </x:c>
      <x:c r="D74" s="2" t="str">
        <x:v>complete</x:v>
      </x:c>
      <x:c r="E74" s="2" t="n">
        <x:v>60</x:v>
      </x:c>
      <x:c r="F74" s="9" t="n">
        <x:v>0</x:v>
      </x:c>
      <x:c r="G74" s="10" t="n">
        <x:v>0.144858</x:v>
      </x:c>
      <x:c r="H74" s="10" t="n">
        <x:v>0.189248</x:v>
      </x:c>
      <x:c r="I74" s="10" t="n">
        <x:v>0</x:v>
      </x:c>
      <x:c r="J74" s="10" t="n">
        <x:v>102.838678</x:v>
      </x:c>
      <x:c r="K74" s="11" t="n">
        <x:v>0</x:v>
      </x:c>
      <x:c r="L74" s="11" t="n">
        <x:v>600</x:v>
      </x:c>
      <x:c r="M74" s="11" t="n">
        <x:v>0</x:v>
      </x:c>
      <x:c r="N74" s="11" t="n">
        <x:v>0</x:v>
      </x:c>
      <x:c r="O74" s="11" t="n">
        <x:v>0</x:v>
      </x:c>
      <x:c r="P74" s="2" t="str">
        <x:v>data</x:v>
      </x:c>
      <x:c r="Q74" s="2" t="str">
        <x:v>periodic</x:v>
      </x:c>
      <x:c r="R74" s="2" t="n">
        <x:v>100</x:v>
      </x:c>
      <x:c r="S74" s="2" t="n">
        <x:v>100</x:v>
      </x:c>
      <x:c r="T74" s="2" t="str">
        <x:v>1.5</x:v>
      </x:c>
      <x:c r="U74" s="2" t="n">
        <x:v>4</x:v>
      </x:c>
      <x:c r="V74" s="2" t="str">
        <x:v>performance</x:v>
      </x:c>
      <x:c r="W74" s="2" t="n">
        <x:v>0</x:v>
      </x:c>
      <x:c r="X74" s="4" t="b">
        <x:v>0</x:v>
      </x:c>
      <x:c r="Y74" s="4" t="b">
        <x:v>0</x:v>
      </x:c>
      <x:c r="Z74" s="2" t="n">
        <x:v>0</x:v>
      </x:c>
      <x:c r="AA74" s="2" t="str">
        <x:v>boot</x:v>
      </x:c>
      <x:c r="AB74" s="12" t="d">
        <x:v>2026-10-20T04:18:38.512Z</x:v>
      </x:c>
      <x:c r="AC74" s="2" t="str">
        <x:v>main/20261020T041606_669096Z/003_ram_1.5_r3</x:v>
      </x:c>
      <x:c r="AD74" s="2" t="str">
        <x:v>f9f42bacce48de3308ed4d9c2c7e3e831bc819de1070ad6e69d756bbc5063f4c</x:v>
      </x:c>
      <x:c r="AE74" s="2" t="str">
        <x:v>fc661864e1c5d20e6f3534da91d3eff58e4e483997c3597816e88133ecd7253f</x:v>
      </x:c>
      <x:c r="AF74" s="2"/>
      <x:c r="AG74" s="2"/>
      <x:c r="AH74" s="10" t="n">
        <x:v>0.062116</x:v>
      </x:c>
      <x:c r="AI74" s="10" t="n">
        <x:v>0.126644</x:v>
      </x:c>
      <x:c r="AJ74" s="2" t="n">
        <x:v>0</x:v>
      </x:c>
      <x:c r="AK74" s="2" t="n">
        <x:v>0</x:v>
      </x:c>
      <x:c r="AL74" s="2" t="n">
        <x:v>1104</x:v>
      </x:c>
      <x:c r="AM74" s="2" t="n">
        <x:v>71</x:v>
      </x:c>
      <x:c r="AN74" s="12" t="d">
        <x:v>2026-10-20T04:19:54.616Z</x:v>
      </x:c>
    </x:row>
    <x:row r="75" ht="21" customHeight="1">
      <x:c r="A75" s="2" t="str">
        <x:v>smoke</x:v>
      </x:c>
      <x:c r="B75" s="2" t="str">
        <x:v>baseline</x:v>
      </x:c>
      <x:c r="C75" s="2" t="n">
        <x:v>1</x:v>
      </x:c>
      <x:c r="D75" s="2" t="str">
        <x:v>complete</x:v>
      </x:c>
      <x:c r="E75" s="2" t="n">
        <x:v>10</x:v>
      </x:c>
      <x:c r="F75" s="9" t="n">
        <x:v>0</x:v>
      </x:c>
      <x:c r="G75" s="10" t="n">
        <x:v>0.0874875</x:v>
      </x:c>
      <x:c r="H75" s="10" t="n">
        <x:v>0.119345</x:v>
      </x:c>
      <x:c r="I75" s="10" t="n">
        <x:v>0</x:v>
      </x:c>
      <x:c r="J75" s="10" t="n">
        <x:v>100.013711</x:v>
      </x:c>
      <x:c r="K75" s="11" t="n">
        <x:v>0</x:v>
      </x:c>
      <x:c r="L75" s="11" t="n">
        <x:v>100</x:v>
      </x:c>
      <x:c r="M75" s="11" t="n">
        <x:v>0</x:v>
      </x:c>
      <x:c r="N75" s="11" t="n">
        <x:v>0</x:v>
      </x:c>
      <x:c r="O75" s="11" t="n">
        <x:v>0</x:v>
      </x:c>
      <x:c r="P75" s="2" t="str">
        <x:v>data</x:v>
      </x:c>
      <x:c r="Q75" s="2" t="str">
        <x:v>periodic</x:v>
      </x:c>
      <x:c r="R75" s="2" t="n">
        <x:v>100</x:v>
      </x:c>
      <x:c r="S75" s="2" t="n">
        <x:v>100</x:v>
      </x:c>
      <x:c r="T75" s="2" t="str">
        <x:v>8</x:v>
      </x:c>
      <x:c r="U75" s="2" t="n">
        <x:v>4</x:v>
      </x:c>
      <x:c r="V75" s="2" t="str">
        <x:v>performance</x:v>
      </x:c>
      <x:c r="W75" s="2" t="n">
        <x:v>0</x:v>
      </x:c>
      <x:c r="X75" s="4" t="b">
        <x:v>0</x:v>
      </x:c>
      <x:c r="Y75" s="4" t="b">
        <x:v>0</x:v>
      </x:c>
      <x:c r="Z75" s="2" t="n">
        <x:v>0</x:v>
      </x:c>
      <x:c r="AA75" s="2"/>
      <x:c r="AB75" s="12" t="d">
        <x:v>2026-10-20T01:49:08.163Z</x:v>
      </x:c>
      <x:c r="AC75" s="2" t="str">
        <x:v>smoke/20261020T014908_130238Z/001_baseline_r1</x:v>
      </x:c>
      <x:c r="AD75" s="2" t="str">
        <x:v>f9f42bacce48de3308ed4d9c2c7e3e831bc819de1070ad6e69d756bbc5063f4c</x:v>
      </x:c>
      <x:c r="AE75" s="2" t="str">
        <x:v>fc661864e1c5d20e6f3534da91d3eff58e4e483997c3597816e88133ecd7253f</x:v>
      </x:c>
      <x:c r="AF75" s="2"/>
      <x:c r="AG75" s="2"/>
      <x:c r="AH75" s="10" t="n">
        <x:v>0.0587</x:v>
      </x:c>
      <x:c r="AI75" s="10" t="n">
        <x:v>0.06063</x:v>
      </x:c>
      <x:c r="AJ75" s="2" t="n">
        <x:v>0</x:v>
      </x:c>
      <x:c r="AK75" s="2" t="n">
        <x:v>0</x:v>
      </x:c>
      <x:c r="AL75" s="2" t="n">
        <x:v>1600</x:v>
      </x:c>
      <x:c r="AM75" s="2" t="n">
        <x:v>69</x:v>
      </x:c>
      <x:c r="AN75" s="12" t="d">
        <x:v>2026-10-20T01:49:34.202Z</x:v>
      </x:c>
    </x:row>
    <x:row r="76" ht="21" customHeight="1">
      <x:c r="A76" s="2" t="str">
        <x:v>smoke</x:v>
      </x:c>
      <x:c r="B76" s="2" t="str">
        <x:v>baseline</x:v>
      </x:c>
      <x:c r="C76" s="2" t="n">
        <x:v>1</x:v>
      </x:c>
      <x:c r="D76" s="2" t="str">
        <x:v>complete</x:v>
      </x:c>
      <x:c r="E76" s="2" t="n">
        <x:v>10</x:v>
      </x:c>
      <x:c r="F76" s="9" t="n">
        <x:v>0</x:v>
      </x:c>
      <x:c r="G76" s="10" t="n">
        <x:v>0.1475555</x:v>
      </x:c>
      <x:c r="H76" s="10" t="n">
        <x:v>0.368331</x:v>
      </x:c>
      <x:c r="I76" s="10" t="n">
        <x:v>0</x:v>
      </x:c>
      <x:c r="J76" s="10" t="n">
        <x:v>100.249284</x:v>
      </x:c>
      <x:c r="K76" s="11" t="n">
        <x:v>0</x:v>
      </x:c>
      <x:c r="L76" s="11" t="n">
        <x:v>100</x:v>
      </x:c>
      <x:c r="M76" s="11" t="n">
        <x:v>0</x:v>
      </x:c>
      <x:c r="N76" s="11" t="n">
        <x:v>0</x:v>
      </x:c>
      <x:c r="O76" s="11" t="n">
        <x:v>0</x:v>
      </x:c>
      <x:c r="P76" s="2" t="str">
        <x:v>data</x:v>
      </x:c>
      <x:c r="Q76" s="2" t="str">
        <x:v>periodic</x:v>
      </x:c>
      <x:c r="R76" s="2" t="n">
        <x:v>100</x:v>
      </x:c>
      <x:c r="S76" s="2" t="n">
        <x:v>100</x:v>
      </x:c>
      <x:c r="T76" s="2" t="str">
        <x:v>8</x:v>
      </x:c>
      <x:c r="U76" s="2" t="n">
        <x:v>4</x:v>
      </x:c>
      <x:c r="V76" s="2" t="str">
        <x:v>performance</x:v>
      </x:c>
      <x:c r="W76" s="2" t="n">
        <x:v>0</x:v>
      </x:c>
      <x:c r="X76" s="4" t="b">
        <x:v>0</x:v>
      </x:c>
      <x:c r="Y76" s="4" t="b">
        <x:v>0</x:v>
      </x:c>
      <x:c r="Z76" s="2" t="n">
        <x:v>0</x:v>
      </x:c>
      <x:c r="AA76" s="2" t="str">
        <x:v>boot</x:v>
      </x:c>
      <x:c r="AB76" s="12" t="d">
        <x:v>2026-10-20T02:17:08.767Z</x:v>
      </x:c>
      <x:c r="AC76" s="2" t="str">
        <x:v>smoke/20261020T021708_720519Z/001_baseline_r1</x:v>
      </x:c>
      <x:c r="AD76" s="2" t="str">
        <x:v>f9f42bacce48de3308ed4d9c2c7e3e831bc819de1070ad6e69d756bbc5063f4c</x:v>
      </x:c>
      <x:c r="AE76" s="2" t="str">
        <x:v>fc661864e1c5d20e6f3534da91d3eff58e4e483997c3597816e88133ecd7253f</x:v>
      </x:c>
      <x:c r="AF76" s="2"/>
      <x:c r="AG76" s="2"/>
      <x:c r="AH76" s="10" t="n">
        <x:v>0.073929</x:v>
      </x:c>
      <x:c r="AI76" s="10" t="n">
        <x:v>0.184244</x:v>
      </x:c>
      <x:c r="AJ76" s="2" t="n">
        <x:v>0</x:v>
      </x:c>
      <x:c r="AK76" s="2" t="n">
        <x:v>0</x:v>
      </x:c>
      <x:c r="AL76" s="2" t="n">
        <x:v>1616</x:v>
      </x:c>
      <x:c r="AM76" s="2" t="n">
        <x:v>68</x:v>
      </x:c>
      <x:c r="AN76" s="12" t="d">
        <x:v>2026-10-20T02:17:34.805Z</x:v>
      </x:c>
    </x:row>
    <x:row r="77" ht="21" customHeight="1">
      <x:c r="A77" s="2" t="str">
        <x:v>smoke</x:v>
      </x:c>
      <x:c r="B77" s="2" t="str">
        <x:v>priority_quiet</x:v>
      </x:c>
      <x:c r="C77" s="2" t="n">
        <x:v>1</x:v>
      </x:c>
      <x:c r="D77" s="2" t="str">
        <x:v>complete</x:v>
      </x:c>
      <x:c r="E77" s="2" t="n">
        <x:v>10</x:v>
      </x:c>
      <x:c r="F77" s="9" t="n">
        <x:v>0</x:v>
      </x:c>
      <x:c r="G77" s="10" t="n">
        <x:v>0.1358065</x:v>
      </x:c>
      <x:c r="H77" s="10" t="n">
        <x:v>0.153139</x:v>
      </x:c>
      <x:c r="I77" s="10" t="n">
        <x:v>0</x:v>
      </x:c>
      <x:c r="J77" s="10" t="n">
        <x:v>100.033243</x:v>
      </x:c>
      <x:c r="K77" s="11" t="n">
        <x:v>0</x:v>
      </x:c>
      <x:c r="L77" s="11" t="n">
        <x:v>100</x:v>
      </x:c>
      <x:c r="M77" s="11" t="n">
        <x:v>0</x:v>
      </x:c>
      <x:c r="N77" s="11" t="n">
        <x:v>0</x:v>
      </x:c>
      <x:c r="O77" s="11" t="n">
        <x:v>0</x:v>
      </x:c>
      <x:c r="P77" s="2" t="str">
        <x:v>data</x:v>
      </x:c>
      <x:c r="Q77" s="2" t="str">
        <x:v>periodic</x:v>
      </x:c>
      <x:c r="R77" s="2" t="n">
        <x:v>100</x:v>
      </x:c>
      <x:c r="S77" s="2" t="n">
        <x:v>100</x:v>
      </x:c>
      <x:c r="T77" s="2" t="str">
        <x:v>8</x:v>
      </x:c>
      <x:c r="U77" s="2" t="n">
        <x:v>4</x:v>
      </x:c>
      <x:c r="V77" s="2" t="str">
        <x:v>performance</x:v>
      </x:c>
      <x:c r="W77" s="2" t="n">
        <x:v>0</x:v>
      </x:c>
      <x:c r="X77" s="4" t="b">
        <x:v>1</x:v>
      </x:c>
      <x:c r="Y77" s="4" t="b">
        <x:v>0</x:v>
      </x:c>
      <x:c r="Z77" s="2" t="n">
        <x:v>0</x:v>
      </x:c>
      <x:c r="AA77" s="2" t="str">
        <x:v>boot</x:v>
      </x:c>
      <x:c r="AB77" s="12" t="d">
        <x:v>2026-10-20T02:18:23.514Z</x:v>
      </x:c>
      <x:c r="AC77" s="2" t="str">
        <x:v>smoke/20261020T021823_485812Z/001_priority_quiet_r1</x:v>
      </x:c>
      <x:c r="AD77" s="2" t="str">
        <x:v>f9f42bacce48de3308ed4d9c2c7e3e831bc819de1070ad6e69d756bbc5063f4c</x:v>
      </x:c>
      <x:c r="AE77" s="2" t="str">
        <x:v>fc661864e1c5d20e6f3534da91d3eff58e4e483997c3597816e88133ecd7253f</x:v>
      </x:c>
      <x:c r="AF77" s="2"/>
      <x:c r="AG77" s="2"/>
      <x:c r="AH77" s="10" t="n">
        <x:v>0.065657</x:v>
      </x:c>
      <x:c r="AI77" s="10" t="n">
        <x:v>0.100275</x:v>
      </x:c>
      <x:c r="AJ77" s="2" t="n">
        <x:v>0</x:v>
      </x:c>
      <x:c r="AK77" s="2" t="n">
        <x:v>3</x:v>
      </x:c>
      <x:c r="AL77" s="2" t="n">
        <x:v>1600</x:v>
      </x:c>
      <x:c r="AM77" s="2" t="n">
        <x:v>69</x:v>
      </x:c>
      <x:c r="AN77" s="12" t="d">
        <x:v>2026-10-20T02:18:49.557Z</x:v>
      </x:c>
    </x:row>
    <x:row r="78" ht="21" customHeight="1">
      <x:c r="A78" s="2" t="str">
        <x:v>smoke</x:v>
      </x:c>
      <x:c r="B78" s="2" t="str">
        <x:v>priority_nice_19</x:v>
      </x:c>
      <x:c r="C78" s="2" t="n">
        <x:v>1</x:v>
      </x:c>
      <x:c r="D78" s="2" t="str">
        <x:v>complete</x:v>
      </x:c>
      <x:c r="E78" s="2" t="n">
        <x:v>10</x:v>
      </x:c>
      <x:c r="F78" s="9" t="n">
        <x:v>0</x:v>
      </x:c>
      <x:c r="G78" s="10" t="n">
        <x:v>3.5561475</x:v>
      </x:c>
      <x:c r="H78" s="10" t="n">
        <x:v>3.633351</x:v>
      </x:c>
      <x:c r="I78" s="10" t="n">
        <x:v>0</x:v>
      </x:c>
      <x:c r="J78" s="10" t="n">
        <x:v>100.819119</x:v>
      </x:c>
      <x:c r="K78" s="11" t="n">
        <x:v>0</x:v>
      </x:c>
      <x:c r="L78" s="11" t="n">
        <x:v>100</x:v>
      </x:c>
      <x:c r="M78" s="11" t="n">
        <x:v>0</x:v>
      </x:c>
      <x:c r="N78" s="11" t="n">
        <x:v>0</x:v>
      </x:c>
      <x:c r="O78" s="11" t="n">
        <x:v>0</x:v>
      </x:c>
      <x:c r="P78" s="2" t="str">
        <x:v>data</x:v>
      </x:c>
      <x:c r="Q78" s="2" t="str">
        <x:v>periodic</x:v>
      </x:c>
      <x:c r="R78" s="2" t="n">
        <x:v>100</x:v>
      </x:c>
      <x:c r="S78" s="2" t="n">
        <x:v>100</x:v>
      </x:c>
      <x:c r="T78" s="2" t="str">
        <x:v>8</x:v>
      </x:c>
      <x:c r="U78" s="2" t="n">
        <x:v>4</x:v>
      </x:c>
      <x:c r="V78" s="2" t="str">
        <x:v>performance</x:v>
      </x:c>
      <x:c r="W78" s="2" t="n">
        <x:v>19</x:v>
      </x:c>
      <x:c r="X78" s="4" t="b">
        <x:v>1</x:v>
      </x:c>
      <x:c r="Y78" s="4" t="b">
        <x:v>1</x:v>
      </x:c>
      <x:c r="Z78" s="2" t="n">
        <x:v>0</x:v>
      </x:c>
      <x:c r="AA78" s="2" t="str">
        <x:v>boot</x:v>
      </x:c>
      <x:c r="AB78" s="12" t="d">
        <x:v>2026-10-20T02:18:49.559Z</x:v>
      </x:c>
      <x:c r="AC78" s="2" t="str">
        <x:v>smoke/20261020T021823_485812Z/002_priority_nice_19_r1</x:v>
      </x:c>
      <x:c r="AD78" s="2" t="str">
        <x:v>f9f42bacce48de3308ed4d9c2c7e3e831bc819de1070ad6e69d756bbc5063f4c</x:v>
      </x:c>
      <x:c r="AE78" s="2" t="str">
        <x:v>fc661864e1c5d20e6f3534da91d3eff58e4e483997c3597816e88133ecd7253f</x:v>
      </x:c>
      <x:c r="AF78" s="2"/>
      <x:c r="AG78" s="2"/>
      <x:c r="AH78" s="10" t="n">
        <x:v>3.484477</x:v>
      </x:c>
      <x:c r="AI78" s="10" t="n">
        <x:v>0.161572</x:v>
      </x:c>
      <x:c r="AJ78" s="2" t="n">
        <x:v>0</x:v>
      </x:c>
      <x:c r="AK78" s="2" t="n">
        <x:v>3</x:v>
      </x:c>
      <x:c r="AL78" s="2" t="n">
        <x:v>1600</x:v>
      </x:c>
      <x:c r="AM78" s="2" t="n">
        <x:v>69</x:v>
      </x:c>
      <x:c r="AN78" s="12" t="d">
        <x:v>2026-10-20T02:19:15.614Z</x:v>
      </x:c>
    </x:row>
    <x:row r="79" ht="21" customHeight="1">
      <x:c r="A79" s="2" t="str">
        <x:v>smoke</x:v>
      </x:c>
      <x:c r="B79" s="2" t="str">
        <x:v>baseline</x:v>
      </x:c>
      <x:c r="C79" s="2" t="n">
        <x:v>1</x:v>
      </x:c>
      <x:c r="D79" s="2" t="str">
        <x:v>complete</x:v>
      </x:c>
      <x:c r="E79" s="2" t="n">
        <x:v>10</x:v>
      </x:c>
      <x:c r="F79" s="9" t="n">
        <x:v>0</x:v>
      </x:c>
      <x:c r="G79" s="10" t="n">
        <x:v>0.13614199999999999</x:v>
      </x:c>
      <x:c r="H79" s="10" t="n">
        <x:v>0.158942</x:v>
      </x:c>
      <x:c r="I79" s="10" t="n">
        <x:v>0</x:v>
      </x:c>
      <x:c r="J79" s="10" t="n">
        <x:v>100.025468</x:v>
      </x:c>
      <x:c r="K79" s="11" t="n">
        <x:v>0</x:v>
      </x:c>
      <x:c r="L79" s="11" t="n">
        <x:v>100</x:v>
      </x:c>
      <x:c r="M79" s="11" t="n">
        <x:v>0</x:v>
      </x:c>
      <x:c r="N79" s="11" t="n">
        <x:v>0</x:v>
      </x:c>
      <x:c r="O79" s="11" t="n">
        <x:v>0</x:v>
      </x:c>
      <x:c r="P79" s="2" t="str">
        <x:v>data</x:v>
      </x:c>
      <x:c r="Q79" s="2" t="str">
        <x:v>periodic</x:v>
      </x:c>
      <x:c r="R79" s="2" t="n">
        <x:v>100</x:v>
      </x:c>
      <x:c r="S79" s="2" t="n">
        <x:v>100</x:v>
      </x:c>
      <x:c r="T79" s="2" t="str">
        <x:v>8</x:v>
      </x:c>
      <x:c r="U79" s="2" t="n">
        <x:v>4</x:v>
      </x:c>
      <x:c r="V79" s="2" t="str">
        <x:v>performance</x:v>
      </x:c>
      <x:c r="W79" s="2" t="n">
        <x:v>0</x:v>
      </x:c>
      <x:c r="X79" s="4" t="b">
        <x:v>0</x:v>
      </x:c>
      <x:c r="Y79" s="4" t="b">
        <x:v>0</x:v>
      </x:c>
      <x:c r="Z79" s="2" t="n">
        <x:v>0</x:v>
      </x:c>
      <x:c r="AA79" s="2" t="str">
        <x:v>boot</x:v>
      </x:c>
      <x:c r="AB79" s="12" t="d">
        <x:v>2026-10-20T02:19:15.615Z</x:v>
      </x:c>
      <x:c r="AC79" s="2" t="str">
        <x:v>smoke/20261020T021823_485812Z/003_baseline_r1</x:v>
      </x:c>
      <x:c r="AD79" s="2" t="str">
        <x:v>f9f42bacce48de3308ed4d9c2c7e3e831bc819de1070ad6e69d756bbc5063f4c</x:v>
      </x:c>
      <x:c r="AE79" s="2" t="str">
        <x:v>fc661864e1c5d20e6f3534da91d3eff58e4e483997c3597816e88133ecd7253f</x:v>
      </x:c>
      <x:c r="AF79" s="2"/>
      <x:c r="AG79" s="2"/>
      <x:c r="AH79" s="10" t="n">
        <x:v>0.06138</x:v>
      </x:c>
      <x:c r="AI79" s="10" t="n">
        <x:v>0.100291</x:v>
      </x:c>
      <x:c r="AJ79" s="2" t="n">
        <x:v>0</x:v>
      </x:c>
      <x:c r="AK79" s="2" t="n">
        <x:v>0</x:v>
      </x:c>
      <x:c r="AL79" s="2" t="n">
        <x:v>1616</x:v>
      </x:c>
      <x:c r="AM79" s="2" t="n">
        <x:v>69</x:v>
      </x:c>
      <x:c r="AN79" s="12" t="d">
        <x:v>2026-10-20T02:19:41.657Z</x:v>
      </x:c>
    </x:row>
    <x:row r="80" ht="21" customHeight="1">
      <x:c r="A80" s="2" t="str">
        <x:v>smoke</x:v>
      </x:c>
      <x:c r="B80" s="2" t="str">
        <x:v>priority_nice_10</x:v>
      </x:c>
      <x:c r="C80" s="2" t="n">
        <x:v>1</x:v>
      </x:c>
      <x:c r="D80" s="2" t="str">
        <x:v>complete</x:v>
      </x:c>
      <x:c r="E80" s="2" t="n">
        <x:v>10</x:v>
      </x:c>
      <x:c r="F80" s="9" t="n">
        <x:v>0</x:v>
      </x:c>
      <x:c r="G80" s="10" t="n">
        <x:v>0.150556</x:v>
      </x:c>
      <x:c r="H80" s="10" t="n">
        <x:v>2.708661</x:v>
      </x:c>
      <x:c r="I80" s="10" t="n">
        <x:v>0</x:v>
      </x:c>
      <x:c r="J80" s="10" t="n">
        <x:v>102.558151</x:v>
      </x:c>
      <x:c r="K80" s="11" t="n">
        <x:v>0</x:v>
      </x:c>
      <x:c r="L80" s="11" t="n">
        <x:v>100</x:v>
      </x:c>
      <x:c r="M80" s="11" t="n">
        <x:v>0</x:v>
      </x:c>
      <x:c r="N80" s="11" t="n">
        <x:v>0</x:v>
      </x:c>
      <x:c r="O80" s="11" t="n">
        <x:v>0</x:v>
      </x:c>
      <x:c r="P80" s="2" t="str">
        <x:v>data</x:v>
      </x:c>
      <x:c r="Q80" s="2" t="str">
        <x:v>periodic</x:v>
      </x:c>
      <x:c r="R80" s="2" t="n">
        <x:v>100</x:v>
      </x:c>
      <x:c r="S80" s="2" t="n">
        <x:v>100</x:v>
      </x:c>
      <x:c r="T80" s="2" t="str">
        <x:v>8</x:v>
      </x:c>
      <x:c r="U80" s="2" t="n">
        <x:v>4</x:v>
      </x:c>
      <x:c r="V80" s="2" t="str">
        <x:v>performance</x:v>
      </x:c>
      <x:c r="W80" s="2" t="n">
        <x:v>10</x:v>
      </x:c>
      <x:c r="X80" s="4" t="b">
        <x:v>1</x:v>
      </x:c>
      <x:c r="Y80" s="4" t="b">
        <x:v>1</x:v>
      </x:c>
      <x:c r="Z80" s="2" t="n">
        <x:v>0</x:v>
      </x:c>
      <x:c r="AA80" s="2" t="str">
        <x:v>boot</x:v>
      </x:c>
      <x:c r="AB80" s="12" t="d">
        <x:v>2026-10-20T02:19:41.658Z</x:v>
      </x:c>
      <x:c r="AC80" s="2" t="str">
        <x:v>smoke/20261020T021823_485812Z/004_priority_nice_10_r1</x:v>
      </x:c>
      <x:c r="AD80" s="2" t="str">
        <x:v>f9f42bacce48de3308ed4d9c2c7e3e831bc819de1070ad6e69d756bbc5063f4c</x:v>
      </x:c>
      <x:c r="AE80" s="2" t="str">
        <x:v>fc661864e1c5d20e6f3534da91d3eff58e4e483997c3597816e88133ecd7253f</x:v>
      </x:c>
      <x:c r="AF80" s="2"/>
      <x:c r="AG80" s="2"/>
      <x:c r="AH80" s="10" t="n">
        <x:v>2.595713</x:v>
      </x:c>
      <x:c r="AI80" s="10" t="n">
        <x:v>0.124148</x:v>
      </x:c>
      <x:c r="AJ80" s="2" t="n">
        <x:v>0</x:v>
      </x:c>
      <x:c r="AK80" s="2" t="n">
        <x:v>1</x:v>
      </x:c>
      <x:c r="AL80" s="2" t="n">
        <x:v>1616</x:v>
      </x:c>
      <x:c r="AM80" s="2" t="n">
        <x:v>70</x:v>
      </x:c>
      <x:c r="AN80" s="12" t="d">
        <x:v>2026-10-20T02:20:07.723Z</x:v>
      </x:c>
    </x:row>
    <x:row r="81" ht="21" customHeight="1">
      <x:c r="A81" s="2" t="str">
        <x:v>smoke</x:v>
      </x:c>
      <x:c r="B81" s="2" t="str">
        <x:v>governor_ondemand</x:v>
      </x:c>
      <x:c r="C81" s="2" t="n">
        <x:v>1</x:v>
      </x:c>
      <x:c r="D81" s="2" t="str">
        <x:v>complete</x:v>
      </x:c>
      <x:c r="E81" s="2" t="n">
        <x:v>10</x:v>
      </x:c>
      <x:c r="F81" s="9" t="n">
        <x:v>0</x:v>
      </x:c>
      <x:c r="G81" s="10" t="n">
        <x:v>0.1602875</x:v>
      </x:c>
      <x:c r="H81" s="10" t="n">
        <x:v>0.197132</x:v>
      </x:c>
      <x:c r="I81" s="10" t="n">
        <x:v>0</x:v>
      </x:c>
      <x:c r="J81" s="10" t="n">
        <x:v>100.037705</x:v>
      </x:c>
      <x:c r="K81" s="11" t="n">
        <x:v>0</x:v>
      </x:c>
      <x:c r="L81" s="11" t="n">
        <x:v>100</x:v>
      </x:c>
      <x:c r="M81" s="11" t="n">
        <x:v>0</x:v>
      </x:c>
      <x:c r="N81" s="11" t="n">
        <x:v>0</x:v>
      </x:c>
      <x:c r="O81" s="11" t="n">
        <x:v>0</x:v>
      </x:c>
      <x:c r="P81" s="2" t="str">
        <x:v>data</x:v>
      </x:c>
      <x:c r="Q81" s="2" t="str">
        <x:v>periodic</x:v>
      </x:c>
      <x:c r="R81" s="2" t="n">
        <x:v>100</x:v>
      </x:c>
      <x:c r="S81" s="2" t="n">
        <x:v>100</x:v>
      </x:c>
      <x:c r="T81" s="2" t="str">
        <x:v>8</x:v>
      </x:c>
      <x:c r="U81" s="2" t="n">
        <x:v>4</x:v>
      </x:c>
      <x:c r="V81" s="2" t="str">
        <x:v>ondemand</x:v>
      </x:c>
      <x:c r="W81" s="2" t="n">
        <x:v>0</x:v>
      </x:c>
      <x:c r="X81" s="4" t="b">
        <x:v>0</x:v>
      </x:c>
      <x:c r="Y81" s="4" t="b">
        <x:v>0</x:v>
      </x:c>
      <x:c r="Z81" s="2" t="n">
        <x:v>0</x:v>
      </x:c>
      <x:c r="AA81" s="2" t="str">
        <x:v>boot</x:v>
      </x:c>
      <x:c r="AB81" s="12" t="d">
        <x:v>2026-10-20T02:20:07.724Z</x:v>
      </x:c>
      <x:c r="AC81" s="2" t="str">
        <x:v>smoke/20261020T021823_485812Z/005_governor_ondemand_r1</x:v>
      </x:c>
      <x:c r="AD81" s="2" t="str">
        <x:v>f9f42bacce48de3308ed4d9c2c7e3e831bc819de1070ad6e69d756bbc5063f4c</x:v>
      </x:c>
      <x:c r="AE81" s="2" t="str">
        <x:v>fc661864e1c5d20e6f3534da91d3eff58e4e483997c3597816e88133ecd7253f</x:v>
      </x:c>
      <x:c r="AF81" s="2"/>
      <x:c r="AG81" s="2"/>
      <x:c r="AH81" s="10" t="n">
        <x:v>0.092982</x:v>
      </x:c>
      <x:c r="AI81" s="10" t="n">
        <x:v>0.114744</x:v>
      </x:c>
      <x:c r="AJ81" s="2" t="n">
        <x:v>0</x:v>
      </x:c>
      <x:c r="AK81" s="2" t="n">
        <x:v>0</x:v>
      </x:c>
      <x:c r="AL81" s="2" t="n">
        <x:v>1616</x:v>
      </x:c>
      <x:c r="AM81" s="2" t="n">
        <x:v>69</x:v>
      </x:c>
      <x:c r="AN81" s="12" t="d">
        <x:v>2026-10-20T02:20:33.755Z</x:v>
      </x:c>
    </x:row>
    <x:row r="82" ht="21" customHeight="1">
      <x:c r="A82" s="2" t="str">
        <x:v>smoke</x:v>
      </x:c>
      <x:c r="B82" s="2" t="str">
        <x:v>governor_powersave</x:v>
      </x:c>
      <x:c r="C82" s="2" t="n">
        <x:v>1</x:v>
      </x:c>
      <x:c r="D82" s="2" t="str">
        <x:v>complete</x:v>
      </x:c>
      <x:c r="E82" s="2" t="n">
        <x:v>10</x:v>
      </x:c>
      <x:c r="F82" s="9" t="n">
        <x:v>0</x:v>
      </x:c>
      <x:c r="G82" s="10" t="n">
        <x:v>0.1554655</x:v>
      </x:c>
      <x:c r="H82" s="10" t="n">
        <x:v>0.192788</x:v>
      </x:c>
      <x:c r="I82" s="10" t="n">
        <x:v>0</x:v>
      </x:c>
      <x:c r="J82" s="10" t="n">
        <x:v>100.035782</x:v>
      </x:c>
      <x:c r="K82" s="11" t="n">
        <x:v>0</x:v>
      </x:c>
      <x:c r="L82" s="11" t="n">
        <x:v>100</x:v>
      </x:c>
      <x:c r="M82" s="11" t="n">
        <x:v>0</x:v>
      </x:c>
      <x:c r="N82" s="11" t="n">
        <x:v>0</x:v>
      </x:c>
      <x:c r="O82" s="11" t="n">
        <x:v>0</x:v>
      </x:c>
      <x:c r="P82" s="2" t="str">
        <x:v>data</x:v>
      </x:c>
      <x:c r="Q82" s="2" t="str">
        <x:v>periodic</x:v>
      </x:c>
      <x:c r="R82" s="2" t="n">
        <x:v>100</x:v>
      </x:c>
      <x:c r="S82" s="2" t="n">
        <x:v>100</x:v>
      </x:c>
      <x:c r="T82" s="2" t="str">
        <x:v>8</x:v>
      </x:c>
      <x:c r="U82" s="2" t="n">
        <x:v>4</x:v>
      </x:c>
      <x:c r="V82" s="2" t="str">
        <x:v>powersave</x:v>
      </x:c>
      <x:c r="W82" s="2" t="n">
        <x:v>0</x:v>
      </x:c>
      <x:c r="X82" s="4" t="b">
        <x:v>0</x:v>
      </x:c>
      <x:c r="Y82" s="4" t="b">
        <x:v>0</x:v>
      </x:c>
      <x:c r="Z82" s="2" t="n">
        <x:v>0</x:v>
      </x:c>
      <x:c r="AA82" s="2" t="str">
        <x:v>boot</x:v>
      </x:c>
      <x:c r="AB82" s="12" t="d">
        <x:v>2026-10-20T02:20:33.757Z</x:v>
      </x:c>
      <x:c r="AC82" s="2" t="str">
        <x:v>smoke/20261020T021823_485812Z/006_governor_powersave_r1</x:v>
      </x:c>
      <x:c r="AD82" s="2" t="str">
        <x:v>f9f42bacce48de3308ed4d9c2c7e3e831bc819de1070ad6e69d756bbc5063f4c</x:v>
      </x:c>
      <x:c r="AE82" s="2" t="str">
        <x:v>fc661864e1c5d20e6f3534da91d3eff58e4e483997c3597816e88133ecd7253f</x:v>
      </x:c>
      <x:c r="AF82" s="2"/>
      <x:c r="AG82" s="2"/>
      <x:c r="AH82" s="10" t="n">
        <x:v>0.067844</x:v>
      </x:c>
      <x:c r="AI82" s="10" t="n">
        <x:v>0.125931</x:v>
      </x:c>
      <x:c r="AJ82" s="2" t="n">
        <x:v>0</x:v>
      </x:c>
      <x:c r="AK82" s="2" t="n">
        <x:v>0</x:v>
      </x:c>
      <x:c r="AL82" s="2" t="n">
        <x:v>1616</x:v>
      </x:c>
      <x:c r="AM82" s="2" t="n">
        <x:v>70</x:v>
      </x:c>
      <x:c r="AN82" s="12" t="d">
        <x:v>2026-10-20T02:20:59.801Z</x:v>
      </x:c>
    </x:row>
    <x:row r="83" ht="21" customHeight="1">
      <x:c r="A83" s="2" t="str">
        <x:v>smoke</x:v>
      </x:c>
      <x:c r="B83" s="2" t="str">
        <x:v>network_rx_10M</x:v>
      </x:c>
      <x:c r="C83" s="2" t="n">
        <x:v>1</x:v>
      </x:c>
      <x:c r="D83" s="2" t="str">
        <x:v>complete</x:v>
      </x:c>
      <x:c r="E83" s="2" t="n">
        <x:v>10</x:v>
      </x:c>
      <x:c r="F83" s="9" t="n">
        <x:v>0</x:v>
      </x:c>
      <x:c r="G83" s="10" t="n">
        <x:v>0.1398825</x:v>
      </x:c>
      <x:c r="H83" s="10" t="n">
        <x:v>0.158059</x:v>
      </x:c>
      <x:c r="I83" s="10" t="n">
        <x:v>0</x:v>
      </x:c>
      <x:c r="J83" s="10" t="n">
        <x:v>100.029294</x:v>
      </x:c>
      <x:c r="K83" s="11" t="n">
        <x:v>0</x:v>
      </x:c>
      <x:c r="L83" s="11" t="n">
        <x:v>100</x:v>
      </x:c>
      <x:c r="M83" s="11" t="n">
        <x:v>0</x:v>
      </x:c>
      <x:c r="N83" s="11" t="n">
        <x:v>0</x:v>
      </x:c>
      <x:c r="O83" s="11" t="n">
        <x:v>0</x:v>
      </x:c>
      <x:c r="P83" s="2" t="str">
        <x:v>data</x:v>
      </x:c>
      <x:c r="Q83" s="2" t="str">
        <x:v>periodic</x:v>
      </x:c>
      <x:c r="R83" s="2" t="n">
        <x:v>100</x:v>
      </x:c>
      <x:c r="S83" s="2" t="n">
        <x:v>100</x:v>
      </x:c>
      <x:c r="T83" s="2" t="str">
        <x:v>8</x:v>
      </x:c>
      <x:c r="U83" s="2" t="n">
        <x:v>4</x:v>
      </x:c>
      <x:c r="V83" s="2" t="str">
        <x:v>performance</x:v>
      </x:c>
      <x:c r="W83" s="2" t="n">
        <x:v>0</x:v>
      </x:c>
      <x:c r="X83" s="4" t="b">
        <x:v>0</x:v>
      </x:c>
      <x:c r="Y83" s="4" t="b">
        <x:v>0</x:v>
      </x:c>
      <x:c r="Z83" s="2" t="n">
        <x:v>10</x:v>
      </x:c>
      <x:c r="AA83" s="2" t="str">
        <x:v>boot</x:v>
      </x:c>
      <x:c r="AB83" s="12" t="d">
        <x:v>2026-10-20T02:20:59.803Z</x:v>
      </x:c>
      <x:c r="AC83" s="2" t="str">
        <x:v>smoke/20261020T021823_485812Z/007_network_rx_10M_r1</x:v>
      </x:c>
      <x:c r="AD83" s="2" t="str">
        <x:v>f9f42bacce48de3308ed4d9c2c7e3e831bc819de1070ad6e69d756bbc5063f4c</x:v>
      </x:c>
      <x:c r="AE83" s="2" t="str">
        <x:v>fc661864e1c5d20e6f3534da91d3eff58e4e483997c3597816e88133ecd7253f</x:v>
      </x:c>
      <x:c r="AF83" s="2"/>
      <x:c r="AG83" s="2"/>
      <x:c r="AH83" s="10" t="n">
        <x:v>0.063943</x:v>
      </x:c>
      <x:c r="AI83" s="10" t="n">
        <x:v>0.099246</x:v>
      </x:c>
      <x:c r="AJ83" s="2" t="n">
        <x:v>0</x:v>
      </x:c>
      <x:c r="AK83" s="2" t="n">
        <x:v>1</x:v>
      </x:c>
      <x:c r="AL83" s="2" t="n">
        <x:v>1104</x:v>
      </x:c>
      <x:c r="AM83" s="2" t="n">
        <x:v>69</x:v>
      </x:c>
      <x:c r="AN83" s="12" t="d">
        <x:v>2026-10-20T02:21:35.028Z</x:v>
      </x:c>
    </x:row>
    <x:row r="84" ht="21" customHeight="1">
      <x:c r="A84" s="2" t="str">
        <x:v>smoke</x:v>
      </x:c>
      <x:c r="B84" s="2" t="str">
        <x:v>priority_nice_0</x:v>
      </x:c>
      <x:c r="C84" s="2" t="n">
        <x:v>1</x:v>
      </x:c>
      <x:c r="D84" s="2" t="str">
        <x:v>complete</x:v>
      </x:c>
      <x:c r="E84" s="2" t="n">
        <x:v>10</x:v>
      </x:c>
      <x:c r="F84" s="9" t="n">
        <x:v>0</x:v>
      </x:c>
      <x:c r="G84" s="10" t="n">
        <x:v>0.1462985</x:v>
      </x:c>
      <x:c r="H84" s="10" t="n">
        <x:v>2.690496</x:v>
      </x:c>
      <x:c r="I84" s="10" t="n">
        <x:v>0</x:v>
      </x:c>
      <x:c r="J84" s="10" t="n">
        <x:v>102.54081</x:v>
      </x:c>
      <x:c r="K84" s="11" t="n">
        <x:v>0</x:v>
      </x:c>
      <x:c r="L84" s="11" t="n">
        <x:v>100</x:v>
      </x:c>
      <x:c r="M84" s="11" t="n">
        <x:v>0</x:v>
      </x:c>
      <x:c r="N84" s="11" t="n">
        <x:v>0</x:v>
      </x:c>
      <x:c r="O84" s="11" t="n">
        <x:v>0</x:v>
      </x:c>
      <x:c r="P84" s="2" t="str">
        <x:v>data</x:v>
      </x:c>
      <x:c r="Q84" s="2" t="str">
        <x:v>periodic</x:v>
      </x:c>
      <x:c r="R84" s="2" t="n">
        <x:v>100</x:v>
      </x:c>
      <x:c r="S84" s="2" t="n">
        <x:v>100</x:v>
      </x:c>
      <x:c r="T84" s="2" t="str">
        <x:v>8</x:v>
      </x:c>
      <x:c r="U84" s="2" t="n">
        <x:v>4</x:v>
      </x:c>
      <x:c r="V84" s="2" t="str">
        <x:v>performance</x:v>
      </x:c>
      <x:c r="W84" s="2" t="n">
        <x:v>0</x:v>
      </x:c>
      <x:c r="X84" s="4" t="b">
        <x:v>1</x:v>
      </x:c>
      <x:c r="Y84" s="4" t="b">
        <x:v>1</x:v>
      </x:c>
      <x:c r="Z84" s="2" t="n">
        <x:v>0</x:v>
      </x:c>
      <x:c r="AA84" s="2" t="str">
        <x:v>boot</x:v>
      </x:c>
      <x:c r="AB84" s="12" t="d">
        <x:v>2026-10-20T02:21:35.029Z</x:v>
      </x:c>
      <x:c r="AC84" s="2" t="str">
        <x:v>smoke/20261020T021823_485812Z/008_priority_nice_0_r1</x:v>
      </x:c>
      <x:c r="AD84" s="2" t="str">
        <x:v>f9f42bacce48de3308ed4d9c2c7e3e831bc819de1070ad6e69d756bbc5063f4c</x:v>
      </x:c>
      <x:c r="AE84" s="2" t="str">
        <x:v>fc661864e1c5d20e6f3534da91d3eff58e4e483997c3597816e88133ecd7253f</x:v>
      </x:c>
      <x:c r="AF84" s="2"/>
      <x:c r="AG84" s="2"/>
      <x:c r="AH84" s="10" t="n">
        <x:v>2.593656</x:v>
      </x:c>
      <x:c r="AI84" s="10" t="n">
        <x:v>0.111562</x:v>
      </x:c>
      <x:c r="AJ84" s="2" t="n">
        <x:v>0</x:v>
      </x:c>
      <x:c r="AK84" s="2" t="n">
        <x:v>3</x:v>
      </x:c>
      <x:c r="AL84" s="2" t="n">
        <x:v>1616</x:v>
      </x:c>
      <x:c r="AM84" s="2" t="n">
        <x:v>70</x:v>
      </x:c>
      <x:c r="AN84" s="12" t="d">
        <x:v>2026-10-20T02:22:01.095Z</x:v>
      </x:c>
    </x:row>
    <x:row r="85" ht="21" customHeight="1">
      <x:c r="A85" s="2" t="str">
        <x:v>smoke</x:v>
      </x:c>
      <x:c r="B85" s="2" t="str">
        <x:v>priority_nice_-10</x:v>
      </x:c>
      <x:c r="C85" s="2" t="n">
        <x:v>1</x:v>
      </x:c>
      <x:c r="D85" s="2" t="str">
        <x:v>complete</x:v>
      </x:c>
      <x:c r="E85" s="2" t="n">
        <x:v>10</x:v>
      </x:c>
      <x:c r="F85" s="9" t="n">
        <x:v>0</x:v>
      </x:c>
      <x:c r="G85" s="10" t="n">
        <x:v>0.1461205</x:v>
      </x:c>
      <x:c r="H85" s="10" t="n">
        <x:v>0.221239</x:v>
      </x:c>
      <x:c r="I85" s="10" t="n">
        <x:v>0</x:v>
      </x:c>
      <x:c r="J85" s="10" t="n">
        <x:v>102.55258</x:v>
      </x:c>
      <x:c r="K85" s="11" t="n">
        <x:v>0</x:v>
      </x:c>
      <x:c r="L85" s="11" t="n">
        <x:v>100</x:v>
      </x:c>
      <x:c r="M85" s="11" t="n">
        <x:v>0</x:v>
      </x:c>
      <x:c r="N85" s="11" t="n">
        <x:v>0</x:v>
      </x:c>
      <x:c r="O85" s="11" t="n">
        <x:v>0</x:v>
      </x:c>
      <x:c r="P85" s="2" t="str">
        <x:v>data</x:v>
      </x:c>
      <x:c r="Q85" s="2" t="str">
        <x:v>periodic</x:v>
      </x:c>
      <x:c r="R85" s="2" t="n">
        <x:v>100</x:v>
      </x:c>
      <x:c r="S85" s="2" t="n">
        <x:v>100</x:v>
      </x:c>
      <x:c r="T85" s="2" t="str">
        <x:v>8</x:v>
      </x:c>
      <x:c r="U85" s="2" t="n">
        <x:v>4</x:v>
      </x:c>
      <x:c r="V85" s="2" t="str">
        <x:v>performance</x:v>
      </x:c>
      <x:c r="W85" s="2" t="n">
        <x:v>-10</x:v>
      </x:c>
      <x:c r="X85" s="4" t="b">
        <x:v>1</x:v>
      </x:c>
      <x:c r="Y85" s="4" t="b">
        <x:v>1</x:v>
      </x:c>
      <x:c r="Z85" s="2" t="n">
        <x:v>0</x:v>
      </x:c>
      <x:c r="AA85" s="2" t="str">
        <x:v>boot</x:v>
      </x:c>
      <x:c r="AB85" s="12" t="d">
        <x:v>2026-10-20T02:22:01.095Z</x:v>
      </x:c>
      <x:c r="AC85" s="2" t="str">
        <x:v>smoke/20261020T021823_485812Z/009_priority_nice_-10_r1</x:v>
      </x:c>
      <x:c r="AD85" s="2" t="str">
        <x:v>f9f42bacce48de3308ed4d9c2c7e3e831bc819de1070ad6e69d756bbc5063f4c</x:v>
      </x:c>
      <x:c r="AE85" s="2" t="str">
        <x:v>fc661864e1c5d20e6f3534da91d3eff58e4e483997c3597816e88133ecd7253f</x:v>
      </x:c>
      <x:c r="AF85" s="2"/>
      <x:c r="AG85" s="2"/>
      <x:c r="AH85" s="10" t="n">
        <x:v>0.061858</x:v>
      </x:c>
      <x:c r="AI85" s="10" t="n">
        <x:v>0.126897</x:v>
      </x:c>
      <x:c r="AJ85" s="2" t="n">
        <x:v>0</x:v>
      </x:c>
      <x:c r="AK85" s="2" t="n">
        <x:v>7</x:v>
      </x:c>
      <x:c r="AL85" s="2" t="n">
        <x:v>1616</x:v>
      </x:c>
      <x:c r="AM85" s="2" t="n">
        <x:v>68</x:v>
      </x:c>
      <x:c r="AN85" s="12" t="d">
        <x:v>2026-10-20T02:22:27.151Z</x:v>
      </x:c>
    </x:row>
    <x:row r="86" ht="21" customHeight="1">
      <x:c r="A86" s="2" t="str">
        <x:v>smoke</x:v>
      </x:c>
      <x:c r="B86" s="2" t="str">
        <x:v>network_rx_50M</x:v>
      </x:c>
      <x:c r="C86" s="2" t="n">
        <x:v>1</x:v>
      </x:c>
      <x:c r="D86" s="2" t="str">
        <x:v>complete</x:v>
      </x:c>
      <x:c r="E86" s="2" t="n">
        <x:v>10</x:v>
      </x:c>
      <x:c r="F86" s="9" t="n">
        <x:v>0</x:v>
      </x:c>
      <x:c r="G86" s="10" t="n">
        <x:v>0.1341085</x:v>
      </x:c>
      <x:c r="H86" s="10" t="n">
        <x:v>0.155455</x:v>
      </x:c>
      <x:c r="I86" s="10" t="n">
        <x:v>0</x:v>
      </x:c>
      <x:c r="J86" s="10" t="n">
        <x:v>100.022085</x:v>
      </x:c>
      <x:c r="K86" s="11" t="n">
        <x:v>0</x:v>
      </x:c>
      <x:c r="L86" s="11" t="n">
        <x:v>100</x:v>
      </x:c>
      <x:c r="M86" s="11" t="n">
        <x:v>0</x:v>
      </x:c>
      <x:c r="N86" s="11" t="n">
        <x:v>0</x:v>
      </x:c>
      <x:c r="O86" s="11" t="n">
        <x:v>0</x:v>
      </x:c>
      <x:c r="P86" s="2" t="str">
        <x:v>data</x:v>
      </x:c>
      <x:c r="Q86" s="2" t="str">
        <x:v>periodic</x:v>
      </x:c>
      <x:c r="R86" s="2" t="n">
        <x:v>100</x:v>
      </x:c>
      <x:c r="S86" s="2" t="n">
        <x:v>100</x:v>
      </x:c>
      <x:c r="T86" s="2" t="str">
        <x:v>8</x:v>
      </x:c>
      <x:c r="U86" s="2" t="n">
        <x:v>4</x:v>
      </x:c>
      <x:c r="V86" s="2" t="str">
        <x:v>performance</x:v>
      </x:c>
      <x:c r="W86" s="2" t="n">
        <x:v>0</x:v>
      </x:c>
      <x:c r="X86" s="4" t="b">
        <x:v>0</x:v>
      </x:c>
      <x:c r="Y86" s="4" t="b">
        <x:v>0</x:v>
      </x:c>
      <x:c r="Z86" s="2" t="n">
        <x:v>50</x:v>
      </x:c>
      <x:c r="AA86" s="2" t="str">
        <x:v>boot</x:v>
      </x:c>
      <x:c r="AB86" s="12" t="d">
        <x:v>2026-10-20T02:22:27.152Z</x:v>
      </x:c>
      <x:c r="AC86" s="2" t="str">
        <x:v>smoke/20261020T021823_485812Z/010_network_rx_50M_r1</x:v>
      </x:c>
      <x:c r="AD86" s="2" t="str">
        <x:v>f9f42bacce48de3308ed4d9c2c7e3e831bc819de1070ad6e69d756bbc5063f4c</x:v>
      </x:c>
      <x:c r="AE86" s="2" t="str">
        <x:v>fc661864e1c5d20e6f3534da91d3eff58e4e483997c3597816e88133ecd7253f</x:v>
      </x:c>
      <x:c r="AF86" s="2"/>
      <x:c r="AG86" s="2"/>
      <x:c r="AH86" s="10" t="n">
        <x:v>0.06325</x:v>
      </x:c>
      <x:c r="AI86" s="10" t="n">
        <x:v>0.097618</x:v>
      </x:c>
      <x:c r="AJ86" s="2" t="n">
        <x:v>0</x:v>
      </x:c>
      <x:c r="AK86" s="2" t="n">
        <x:v>0</x:v>
      </x:c>
      <x:c r="AL86" s="2" t="n">
        <x:v>1088</x:v>
      </x:c>
      <x:c r="AM86" s="2" t="n">
        <x:v>70</x:v>
      </x:c>
      <x:c r="AN86" s="12" t="d">
        <x:v>2026-10-20T02:23:02.262Z</x:v>
      </x:c>
    </x:row>
    <x:row r="87" ht="21" customHeight="1">
      <x:c r="A87" s="2" t="str">
        <x:v>smoke</x:v>
      </x:c>
      <x:c r="B87" s="2" t="str">
        <x:v>cores_3</x:v>
      </x:c>
      <x:c r="C87" s="2" t="n">
        <x:v>1</x:v>
      </x:c>
      <x:c r="D87" s="2" t="str">
        <x:v>complete</x:v>
      </x:c>
      <x:c r="E87" s="2" t="n">
        <x:v>10</x:v>
      </x:c>
      <x:c r="F87" s="9" t="n">
        <x:v>0</x:v>
      </x:c>
      <x:c r="G87" s="10" t="n">
        <x:v>0.13065</x:v>
      </x:c>
      <x:c r="H87" s="10" t="n">
        <x:v>0.219511</x:v>
      </x:c>
      <x:c r="I87" s="10" t="n">
        <x:v>0</x:v>
      </x:c>
      <x:c r="J87" s="10" t="n">
        <x:v>100.112671</x:v>
      </x:c>
      <x:c r="K87" s="11" t="n">
        <x:v>0</x:v>
      </x:c>
      <x:c r="L87" s="11" t="n">
        <x:v>100</x:v>
      </x:c>
      <x:c r="M87" s="11" t="n">
        <x:v>0</x:v>
      </x:c>
      <x:c r="N87" s="11" t="n">
        <x:v>0</x:v>
      </x:c>
      <x:c r="O87" s="11" t="n">
        <x:v>0</x:v>
      </x:c>
      <x:c r="P87" s="2" t="str">
        <x:v>data</x:v>
      </x:c>
      <x:c r="Q87" s="2" t="str">
        <x:v>periodic</x:v>
      </x:c>
      <x:c r="R87" s="2" t="n">
        <x:v>100</x:v>
      </x:c>
      <x:c r="S87" s="2" t="n">
        <x:v>100</x:v>
      </x:c>
      <x:c r="T87" s="2" t="str">
        <x:v>8</x:v>
      </x:c>
      <x:c r="U87" s="2" t="n">
        <x:v>3</x:v>
      </x:c>
      <x:c r="V87" s="2" t="str">
        <x:v>performance</x:v>
      </x:c>
      <x:c r="W87" s="2" t="n">
        <x:v>0</x:v>
      </x:c>
      <x:c r="X87" s="4" t="b">
        <x:v>0</x:v>
      </x:c>
      <x:c r="Y87" s="4" t="b">
        <x:v>0</x:v>
      </x:c>
      <x:c r="Z87" s="2" t="n">
        <x:v>0</x:v>
      </x:c>
      <x:c r="AA87" s="2" t="str">
        <x:v>boot</x:v>
      </x:c>
      <x:c r="AB87" s="12" t="d">
        <x:v>2026-10-20T03:31:26.560Z</x:v>
      </x:c>
      <x:c r="AC87" s="2" t="str">
        <x:v>smoke/20261020T033126_514628Z/001_cores_3_r1</x:v>
      </x:c>
      <x:c r="AD87" s="2" t="str">
        <x:v>f9f42bacce48de3308ed4d9c2c7e3e831bc819de1070ad6e69d756bbc5063f4c</x:v>
      </x:c>
      <x:c r="AE87" s="2" t="str">
        <x:v>fc661864e1c5d20e6f3534da91d3eff58e4e483997c3597816e88133ecd7253f</x:v>
      </x:c>
      <x:c r="AF87" s="2"/>
      <x:c r="AG87" s="2"/>
      <x:c r="AH87" s="10" t="n">
        <x:v>0.082555</x:v>
      </x:c>
      <x:c r="AI87" s="10" t="n">
        <x:v>0.100075</x:v>
      </x:c>
      <x:c r="AJ87" s="2" t="n">
        <x:v>0</x:v>
      </x:c>
      <x:c r="AK87" s="2" t="n">
        <x:v>0</x:v>
      </x:c>
      <x:c r="AL87" s="2" t="n">
        <x:v>1104</x:v>
      </x:c>
      <x:c r="AM87" s="2" t="n">
        <x:v>69</x:v>
      </x:c>
      <x:c r="AN87" s="12" t="d">
        <x:v>2026-10-20T03:31:52.606Z</x:v>
      </x:c>
    </x:row>
  </x:sheetData>
  <x:conditionalFormatting sqref="F7:F87">
    <x:cfRule type="cellIs" dxfId="0" priority="1" operator="greaterThan">
      <x:formula>0</x:formula>
    </x:cfRule>
  </x:conditionalFormatting>
  <x:conditionalFormatting sqref="D7:D87">
    <x:cfRule type="containsText" dxfId="1" priority="2" operator="containsText" text="failed"/>
  </x:conditionalFormatting>
  <x:pageMargins left="0.7" right="0.7" top="0.75" bottom="0.75" header="0.3" footer="0.3"/>
  <x:tableParts count="1">
    <x:tablePart xmlns:r="http://schemas.openxmlformats.org/officeDocument/2006/relationships" r:id="R542916fc23374f1d"/>
  </x:tableParts>
</x:worksheet>
</file>

<file path=xl/worksheets/sheet4.xml><?xml version="1.0" encoding="utf-8"?>
<x:worksheet xmlns:x="http://schemas.openxmlformats.org/spreadsheetml/2006/main">
  <x:sheetPr>
    <x:tabColor rgb="FFB06A26"/>
  </x:sheetPr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4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2" customHeight="1">
      <x:c r="A2" s="1"/>
      <x:c r="B2" s="14" t="str">
        <x:v>The 1.5 GiB stall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2" customHeight="1">
      <x:c r="A4" s="1"/>
      <x:c r="B4" s="1" t="str">
        <x:v>First run: six misses, including two late attempts and four skipped releases. Longest sequence: four slots.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2" customHeight="1">
      <x:c r="A5" s="1"/>
      <x:c r="B5" s="1" t="str">
        <x:v>Maximum response 345.159 ms; maximum lateness 245.159 ms; acquisition gap 444.746 ms.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2" customHeight="1">
      <x:c r="A6" s="1"/>
      <x:c r="B6" s="1" t="str">
        <x:v>A 0.497 ms p99 did not describe the rare stall. The chart leaves skipped slots as gaps.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3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8" t="str">
        <x:v>Release (s)</x:v>
      </x:c>
      <x:c r="P8" s="8" t="str">
        <x:v>Response (ms)</x:v>
      </x:c>
      <x:c r="Q8" s="8" t="str">
        <x:v>Deadline (ms)</x:v>
      </x:c>
      <x:c r="R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40" t="n">
        <x:f>J172</x:f>
        <x:v>12.6</x:v>
      </x:c>
      <x:c r="P9" s="41" t="n">
        <x:f>K172</x:f>
        <x:v>0.156822</x:v>
      </x:c>
      <x:c r="Q9" s="41" t="n">
        <x:v>100</x:v>
      </x:c>
      <x:c r="R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40" t="n">
        <x:f>J173</x:f>
        <x:v>12.7</x:v>
      </x:c>
      <x:c r="P10" s="41" t="n">
        <x:f>K173</x:f>
        <x:v>0.147755</x:v>
      </x:c>
      <x:c r="Q10" s="41" t="n">
        <x:v>100</x:v>
      </x:c>
      <x:c r="R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40" t="n">
        <x:f>J174</x:f>
        <x:v>12.8</x:v>
      </x:c>
      <x:c r="P11" s="41" t="n">
        <x:f>K174</x:f>
        <x:v>0.159927</x:v>
      </x:c>
      <x:c r="Q11" s="41" t="n">
        <x:v>100</x:v>
      </x:c>
      <x:c r="R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40" t="n">
        <x:f>J175</x:f>
        <x:v>12.9</x:v>
      </x:c>
      <x:c r="P12" s="41" t="n">
        <x:f>K175</x:f>
        <x:v>0.151203</x:v>
      </x:c>
      <x:c r="Q12" s="41" t="n">
        <x:v>100</x:v>
      </x:c>
      <x:c r="R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40" t="n">
        <x:f>J176</x:f>
        <x:v>13</x:v>
      </x:c>
      <x:c r="P13" s="41" t="n">
        <x:f>K176</x:f>
        <x:v>0.141369</x:v>
      </x:c>
      <x:c r="Q13" s="41" t="n">
        <x:v>100</x:v>
      </x:c>
      <x:c r="R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40" t="n">
        <x:f>J177</x:f>
        <x:v>13.1</x:v>
      </x:c>
      <x:c r="P14" s="41" t="n">
        <x:f>K177</x:f>
        <x:v>106.222463</x:v>
      </x:c>
      <x:c r="Q14" s="41" t="n">
        <x:v>100</x:v>
      </x:c>
      <x:c r="R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40" t="n">
        <x:f>J178</x:f>
        <x:v>13.2</x:v>
      </x:c>
      <x:c r="P15" s="41" t="e">
        <x:f>K178</x:f>
        <x:v>#N/A</x:v>
      </x:c>
      <x:c r="Q15" s="41" t="n">
        <x:v>100</x:v>
      </x:c>
      <x:c r="R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40" t="n">
        <x:f>J179</x:f>
        <x:v>13.3</x:v>
      </x:c>
      <x:c r="P16" s="41" t="n">
        <x:f>K179</x:f>
        <x:v>0.497044</x:v>
      </x:c>
      <x:c r="Q16" s="41" t="n">
        <x:v>100</x:v>
      </x:c>
      <x:c r="R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40" t="n">
        <x:f>J180</x:f>
        <x:v>13.4</x:v>
      </x:c>
      <x:c r="P17" s="41" t="n">
        <x:f>K180</x:f>
        <x:v>345.159335</x:v>
      </x:c>
      <x:c r="Q17" s="41" t="n">
        <x:v>100</x:v>
      </x:c>
      <x:c r="R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40" t="n">
        <x:f>J181</x:f>
        <x:v>13.5</x:v>
      </x:c>
      <x:c r="P18" s="41" t="e">
        <x:f>K181</x:f>
        <x:v>#N/A</x:v>
      </x:c>
      <x:c r="Q18" s="41" t="n">
        <x:v>100</x:v>
      </x:c>
      <x:c r="R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40" t="n">
        <x:f>J182</x:f>
        <x:v>13.6</x:v>
      </x:c>
      <x:c r="P19" s="41" t="e">
        <x:f>K182</x:f>
        <x:v>#N/A</x:v>
      </x:c>
      <x:c r="Q19" s="41" t="n">
        <x:v>100</x:v>
      </x:c>
      <x:c r="R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40" t="n">
        <x:f>J183</x:f>
        <x:v>13.7</x:v>
      </x:c>
      <x:c r="P20" s="41" t="e">
        <x:f>K183</x:f>
        <x:v>#N/A</x:v>
      </x:c>
      <x:c r="Q20" s="41" t="n">
        <x:v>100</x:v>
      </x:c>
      <x:c r="R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40" t="n">
        <x:f>J184</x:f>
        <x:v>13.8</x:v>
      </x:c>
      <x:c r="P21" s="41" t="n">
        <x:f>K184</x:f>
        <x:v>0.144576</x:v>
      </x:c>
      <x:c r="Q21" s="41" t="n">
        <x:v>100</x:v>
      </x:c>
      <x:c r="R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40" t="n">
        <x:f>J185</x:f>
        <x:v>13.9</x:v>
      </x:c>
      <x:c r="P22" s="41" t="n">
        <x:f>K185</x:f>
        <x:v>0.118045</x:v>
      </x:c>
      <x:c r="Q22" s="41" t="n">
        <x:v>100</x:v>
      </x:c>
      <x:c r="R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40" t="n">
        <x:f>J186</x:f>
        <x:v>14</x:v>
      </x:c>
      <x:c r="P23" s="41" t="n">
        <x:f>K186</x:f>
        <x:v>0.099421</x:v>
      </x:c>
      <x:c r="Q23" s="41" t="n">
        <x:v>100</x:v>
      </x:c>
      <x:c r="R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40" t="n">
        <x:f>J187</x:f>
        <x:v>14.1</x:v>
      </x:c>
      <x:c r="P24" s="41" t="n">
        <x:f>K187</x:f>
        <x:v>0.093612</x:v>
      </x:c>
      <x:c r="Q24" s="41" t="n">
        <x:v>100</x:v>
      </x:c>
      <x:c r="R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40" t="n">
        <x:f>J188</x:f>
        <x:v>14.2</x:v>
      </x:c>
      <x:c r="P25" s="41" t="n">
        <x:f>K188</x:f>
        <x:v>0.537312</x:v>
      </x:c>
      <x:c r="Q25" s="41" t="n">
        <x:v>100</x:v>
      </x:c>
      <x:c r="R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40" t="n">
        <x:f>J189</x:f>
        <x:v>14.3</x:v>
      </x:c>
      <x:c r="P26" s="41" t="n">
        <x:f>K189</x:f>
        <x:v>0.160988</x:v>
      </x:c>
      <x:c r="Q26" s="41" t="n">
        <x:v>100</x:v>
      </x:c>
      <x:c r="R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40" t="n">
        <x:f>J190</x:f>
        <x:v>14.4</x:v>
      </x:c>
      <x:c r="P27" s="41" t="n">
        <x:f>K190</x:f>
        <x:v>0.176603</x:v>
      </x:c>
      <x:c r="Q27" s="41" t="n">
        <x:v>100</x:v>
      </x:c>
      <x:c r="R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2" customHeight="1">
      <x:c r="A33" s="1"/>
      <x:c r="B33" s="1" t="str">
        <x:v>#N/A is intentional for the four skipped slots: there is no response-time measurement to plot.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2" customHeight="1">
      <x:c r="A34" s="1"/>
      <x:c r="B34" s="1" t="str">
        <x:v>The full 600-slot trace starts at row 45. Memory capacity alone is not a proven cause of this event.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2" customHeight="1">
      <x:c r="A36" s="1"/>
      <x:c r="B36" s="20" t="str">
        <x:v>Your interpretation (type in the shaded rows below)</x:v>
      </x:c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2" customHeight="1">
      <x:c r="A37" s="1"/>
      <x:c r="B37" s="24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6"/>
      <x:c r="N37" s="1"/>
      <x:c r="O37" s="1"/>
      <x:c r="P37" s="1"/>
      <x:c r="Q37" s="1"/>
      <x:c r="R37" s="1"/>
    </x:row>
    <x:row r="38" ht="22" customHeight="1">
      <x:c r="A38" s="1"/>
      <x:c r="B38" s="27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8"/>
      <x:c r="N38" s="1"/>
      <x:c r="O38" s="1"/>
      <x:c r="P38" s="1"/>
      <x:c r="Q38" s="1"/>
      <x:c r="R38" s="1"/>
    </x:row>
    <x:row r="39" ht="22" customHeight="1">
      <x:c r="A39" s="1"/>
      <x:c r="B39" s="29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1"/>
      <x:c r="N39" s="1"/>
      <x:c r="O39" s="1"/>
      <x:c r="P39" s="1"/>
      <x:c r="Q39" s="1"/>
      <x:c r="R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2" customHeight="1">
      <x:c r="A42" s="1"/>
      <x:c r="B42" s="1" t="str">
        <x:v>Source: main/20261020T041606_669096Z/001_ram_1.5_r1/timing.csv from the archive named in Runs.</x:v>
      </x:c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35" customHeight="1">
      <x:c r="A45" s="8" t="str">
        <x:v>Slot</x:v>
      </x:c>
      <x:c r="B45" s="8" t="str">
        <x:v>Release (ns)</x:v>
      </x:c>
      <x:c r="C45" s="8" t="str">
        <x:v>Start (ns)</x:v>
      </x:c>
      <x:c r="D45" s="8" t="str">
        <x:v>Acquired (ns)</x:v>
      </x:c>
      <x:c r="E45" s="8" t="str">
        <x:v>Saved (ns)</x:v>
      </x:c>
      <x:c r="F45" s="8" t="str">
        <x:v>Finish (ns)</x:v>
      </x:c>
      <x:c r="G45" s="8" t="str">
        <x:v>Read OK</x:v>
      </x:c>
      <x:c r="H45" s="8" t="str">
        <x:v>Save OK</x:v>
      </x:c>
      <x:c r="I45" s="8" t="str">
        <x:v>Filter OK</x:v>
      </x:c>
      <x:c r="J45" s="8" t="str">
        <x:v>Release (s)</x:v>
      </x:c>
      <x:c r="K45" s="8" t="str">
        <x:v>Response (ms)</x:v>
      </x:c>
      <x:c r="L45" s="8" t="str">
        <x:v>Miss (0/1)</x:v>
      </x:c>
      <x:c r="M45" s="8" t="str">
        <x:v>Skip (0/1)</x:v>
      </x:c>
      <x:c r="N45" s="1"/>
      <x:c r="O45" s="1"/>
      <x:c r="P45" s="1"/>
      <x:c r="Q45" s="1"/>
      <x:c r="R45" s="1"/>
    </x:row>
    <x:row r="46" ht="22" customHeight="1">
      <x:c r="A46" s="39" t="n">
        <x:v>0</x:v>
      </x:c>
      <x:c r="B46" s="39" t="n">
        <x:v>0</x:v>
      </x:c>
      <x:c r="C46" s="39" t="n">
        <x:v>54077</x:v>
      </x:c>
      <x:c r="D46" s="39" t="n">
        <x:v>315936</x:v>
      </x:c>
      <x:c r="E46" s="39" t="n">
        <x:v>392837</x:v>
      </x:c>
      <x:c r="F46" s="39" t="n">
        <x:v>394337</x:v>
      </x:c>
      <x:c r="G46" s="39" t="n">
        <x:v>1</x:v>
      </x:c>
      <x:c r="H46" s="39" t="n">
        <x:v>1</x:v>
      </x:c>
      <x:c r="I46" s="39" t="n">
        <x:v>1</x:v>
      </x:c>
      <x:c r="J46" s="40" t="n">
        <x:f>B46/1000000000</x:f>
        <x:v>0</x:v>
      </x:c>
      <x:c r="K46" s="41" t="n">
        <x:f>IF(C46&lt;0,NA(),(F46-B46)/1000000)</x:f>
        <x:v>0.394337</x:v>
      </x:c>
      <x:c r="L46" s="39" t="n">
        <x:f>IF(C46&lt;0,1,IF(OR(G46=0,H46=0,I46=0,F46-B46&gt;100000000),1,0))</x:f>
        <x:v>0</x:v>
      </x:c>
      <x:c r="M46" s="39" t="n">
        <x:f>IF(C46&lt;0,1,0)</x:f>
        <x:v>0</x:v>
      </x:c>
      <x:c r="N46" s="1"/>
      <x:c r="O46" s="1"/>
      <x:c r="P46" s="1"/>
      <x:c r="Q46" s="1"/>
      <x:c r="R46" s="1"/>
    </x:row>
    <x:row r="47" ht="22" customHeight="1">
      <x:c r="A47" s="39" t="n">
        <x:v>1</x:v>
      </x:c>
      <x:c r="B47" s="39" t="n">
        <x:v>100000000</x:v>
      </x:c>
      <x:c r="C47" s="39" t="n">
        <x:v>100054356</x:v>
      </x:c>
      <x:c r="D47" s="39" t="n">
        <x:v>100071554</x:v>
      </x:c>
      <x:c r="E47" s="39" t="n">
        <x:v>100089493</x:v>
      </x:c>
      <x:c r="F47" s="39" t="n">
        <x:v>100090215</x:v>
      </x:c>
      <x:c r="G47" s="39" t="n">
        <x:v>1</x:v>
      </x:c>
      <x:c r="H47" s="39" t="n">
        <x:v>1</x:v>
      </x:c>
      <x:c r="I47" s="39" t="n">
        <x:v>1</x:v>
      </x:c>
      <x:c r="J47" s="40" t="n">
        <x:f>B47/1000000000</x:f>
        <x:v>0.1</x:v>
      </x:c>
      <x:c r="K47" s="41" t="n">
        <x:f>IF(C47&lt;0,NA(),(F47-B47)/1000000)</x:f>
        <x:v>0.090215</x:v>
      </x:c>
      <x:c r="L47" s="39" t="n">
        <x:f>IF(C47&lt;0,1,IF(OR(G47=0,H47=0,I47=0,F47-B47&gt;100000000),1,0))</x:f>
        <x:v>0</x:v>
      </x:c>
      <x:c r="M47" s="39" t="n">
        <x:f>IF(C47&lt;0,1,0)</x:f>
        <x:v>0</x:v>
      </x:c>
      <x:c r="N47" s="1"/>
      <x:c r="O47" s="1"/>
      <x:c r="P47" s="1"/>
      <x:c r="Q47" s="1"/>
      <x:c r="R47" s="1"/>
    </x:row>
    <x:row r="48" ht="22" customHeight="1">
      <x:c r="A48" s="39" t="n">
        <x:v>2</x:v>
      </x:c>
      <x:c r="B48" s="39" t="n">
        <x:v>200000000</x:v>
      </x:c>
      <x:c r="C48" s="39" t="n">
        <x:v>200052506</x:v>
      </x:c>
      <x:c r="D48" s="39" t="n">
        <x:v>200063410</x:v>
      </x:c>
      <x:c r="E48" s="39" t="n">
        <x:v>200075202</x:v>
      </x:c>
      <x:c r="F48" s="39" t="n">
        <x:v>200075887</x:v>
      </x:c>
      <x:c r="G48" s="39" t="n">
        <x:v>1</x:v>
      </x:c>
      <x:c r="H48" s="39" t="n">
        <x:v>1</x:v>
      </x:c>
      <x:c r="I48" s="39" t="n">
        <x:v>1</x:v>
      </x:c>
      <x:c r="J48" s="40" t="n">
        <x:f>B48/1000000000</x:f>
        <x:v>0.2</x:v>
      </x:c>
      <x:c r="K48" s="41" t="n">
        <x:f>IF(C48&lt;0,NA(),(F48-B48)/1000000)</x:f>
        <x:v>0.075887</x:v>
      </x:c>
      <x:c r="L48" s="39" t="n">
        <x:f>IF(C48&lt;0,1,IF(OR(G48=0,H48=0,I48=0,F48-B48&gt;100000000),1,0))</x:f>
        <x:v>0</x:v>
      </x:c>
      <x:c r="M48" s="39" t="n">
        <x:f>IF(C48&lt;0,1,0)</x:f>
        <x:v>0</x:v>
      </x:c>
      <x:c r="N48" s="1"/>
      <x:c r="O48" s="1"/>
      <x:c r="P48" s="1"/>
      <x:c r="Q48" s="1"/>
      <x:c r="R48" s="1"/>
    </x:row>
    <x:row r="49" ht="22" customHeight="1">
      <x:c r="A49" s="39" t="n">
        <x:v>3</x:v>
      </x:c>
      <x:c r="B49" s="39" t="n">
        <x:v>300000000</x:v>
      </x:c>
      <x:c r="C49" s="39" t="n">
        <x:v>300052545</x:v>
      </x:c>
      <x:c r="D49" s="39" t="n">
        <x:v>300066225</x:v>
      </x:c>
      <x:c r="E49" s="39" t="n">
        <x:v>300079776</x:v>
      </x:c>
      <x:c r="F49" s="39" t="n">
        <x:v>300083646</x:v>
      </x:c>
      <x:c r="G49" s="39" t="n">
        <x:v>1</x:v>
      </x:c>
      <x:c r="H49" s="39" t="n">
        <x:v>1</x:v>
      </x:c>
      <x:c r="I49" s="39" t="n">
        <x:v>1</x:v>
      </x:c>
      <x:c r="J49" s="40" t="n">
        <x:f>B49/1000000000</x:f>
        <x:v>0.3</x:v>
      </x:c>
      <x:c r="K49" s="41" t="n">
        <x:f>IF(C49&lt;0,NA(),(F49-B49)/1000000)</x:f>
        <x:v>0.083646</x:v>
      </x:c>
      <x:c r="L49" s="39" t="n">
        <x:f>IF(C49&lt;0,1,IF(OR(G49=0,H49=0,I49=0,F49-B49&gt;100000000),1,0))</x:f>
        <x:v>0</x:v>
      </x:c>
      <x:c r="M49" s="39" t="n">
        <x:f>IF(C49&lt;0,1,0)</x:f>
        <x:v>0</x:v>
      </x:c>
      <x:c r="N49" s="1"/>
      <x:c r="O49" s="1"/>
      <x:c r="P49" s="1"/>
      <x:c r="Q49" s="1"/>
      <x:c r="R49" s="1"/>
    </x:row>
    <x:row r="50" ht="22" customHeight="1">
      <x:c r="A50" s="39" t="n">
        <x:v>4</x:v>
      </x:c>
      <x:c r="B50" s="39" t="n">
        <x:v>400000000</x:v>
      </x:c>
      <x:c r="C50" s="39" t="n">
        <x:v>400052583</x:v>
      </x:c>
      <x:c r="D50" s="39" t="n">
        <x:v>400065153</x:v>
      </x:c>
      <x:c r="E50" s="39" t="n">
        <x:v>400077334</x:v>
      </x:c>
      <x:c r="F50" s="39" t="n">
        <x:v>400078334</x:v>
      </x:c>
      <x:c r="G50" s="39" t="n">
        <x:v>1</x:v>
      </x:c>
      <x:c r="H50" s="39" t="n">
        <x:v>1</x:v>
      </x:c>
      <x:c r="I50" s="39" t="n">
        <x:v>1</x:v>
      </x:c>
      <x:c r="J50" s="40" t="n">
        <x:f>B50/1000000000</x:f>
        <x:v>0.4</x:v>
      </x:c>
      <x:c r="K50" s="41" t="n">
        <x:f>IF(C50&lt;0,NA(),(F50-B50)/1000000)</x:f>
        <x:v>0.078334</x:v>
      </x:c>
      <x:c r="L50" s="39" t="n">
        <x:f>IF(C50&lt;0,1,IF(OR(G50=0,H50=0,I50=0,F50-B50&gt;100000000),1,0))</x:f>
        <x:v>0</x:v>
      </x:c>
      <x:c r="M50" s="39" t="n">
        <x:f>IF(C50&lt;0,1,0)</x:f>
        <x:v>0</x:v>
      </x:c>
      <x:c r="N50" s="1"/>
      <x:c r="O50" s="1"/>
      <x:c r="P50" s="1"/>
      <x:c r="Q50" s="1"/>
      <x:c r="R50" s="1"/>
    </x:row>
    <x:row r="51" ht="22" customHeight="1">
      <x:c r="A51" s="39" t="n">
        <x:v>5</x:v>
      </x:c>
      <x:c r="B51" s="39" t="n">
        <x:v>500000000</x:v>
      </x:c>
      <x:c r="C51" s="39" t="n">
        <x:v>500053455</x:v>
      </x:c>
      <x:c r="D51" s="39" t="n">
        <x:v>500066506</x:v>
      </x:c>
      <x:c r="E51" s="39" t="n">
        <x:v>500078909</x:v>
      </x:c>
      <x:c r="F51" s="39" t="n">
        <x:v>500079798</x:v>
      </x:c>
      <x:c r="G51" s="39" t="n">
        <x:v>1</x:v>
      </x:c>
      <x:c r="H51" s="39" t="n">
        <x:v>1</x:v>
      </x:c>
      <x:c r="I51" s="39" t="n">
        <x:v>1</x:v>
      </x:c>
      <x:c r="J51" s="40" t="n">
        <x:f>B51/1000000000</x:f>
        <x:v>0.5</x:v>
      </x:c>
      <x:c r="K51" s="41" t="n">
        <x:f>IF(C51&lt;0,NA(),(F51-B51)/1000000)</x:f>
        <x:v>0.079798</x:v>
      </x:c>
      <x:c r="L51" s="39" t="n">
        <x:f>IF(C51&lt;0,1,IF(OR(G51=0,H51=0,I51=0,F51-B51&gt;100000000),1,0))</x:f>
        <x:v>0</x:v>
      </x:c>
      <x:c r="M51" s="39" t="n">
        <x:f>IF(C51&lt;0,1,0)</x:f>
        <x:v>0</x:v>
      </x:c>
      <x:c r="N51" s="1"/>
      <x:c r="O51" s="1"/>
      <x:c r="P51" s="1"/>
      <x:c r="Q51" s="1"/>
      <x:c r="R51" s="1"/>
    </x:row>
    <x:row r="52" ht="22" customHeight="1">
      <x:c r="A52" s="39" t="n">
        <x:v>6</x:v>
      </x:c>
      <x:c r="B52" s="39" t="n">
        <x:v>600000000</x:v>
      </x:c>
      <x:c r="C52" s="39" t="n">
        <x:v>600056973</x:v>
      </x:c>
      <x:c r="D52" s="39" t="n">
        <x:v>600095220</x:v>
      </x:c>
      <x:c r="E52" s="39" t="n">
        <x:v>600122841</x:v>
      </x:c>
      <x:c r="F52" s="39" t="n">
        <x:v>600124470</x:v>
      </x:c>
      <x:c r="G52" s="39" t="n">
        <x:v>1</x:v>
      </x:c>
      <x:c r="H52" s="39" t="n">
        <x:v>1</x:v>
      </x:c>
      <x:c r="I52" s="39" t="n">
        <x:v>1</x:v>
      </x:c>
      <x:c r="J52" s="40" t="n">
        <x:f>B52/1000000000</x:f>
        <x:v>0.6</x:v>
      </x:c>
      <x:c r="K52" s="41" t="n">
        <x:f>IF(C52&lt;0,NA(),(F52-B52)/1000000)</x:f>
        <x:v>0.12447</x:v>
      </x:c>
      <x:c r="L52" s="39" t="n">
        <x:f>IF(C52&lt;0,1,IF(OR(G52=0,H52=0,I52=0,F52-B52&gt;100000000),1,0))</x:f>
        <x:v>0</x:v>
      </x:c>
      <x:c r="M52" s="39" t="n">
        <x:f>IF(C52&lt;0,1,0)</x:f>
        <x:v>0</x:v>
      </x:c>
      <x:c r="N52" s="1"/>
      <x:c r="O52" s="1"/>
      <x:c r="P52" s="1"/>
      <x:c r="Q52" s="1"/>
      <x:c r="R52" s="1"/>
    </x:row>
    <x:row r="53" ht="22" customHeight="1">
      <x:c r="A53" s="39" t="n">
        <x:v>7</x:v>
      </x:c>
      <x:c r="B53" s="39" t="n">
        <x:v>700000000</x:v>
      </x:c>
      <x:c r="C53" s="39" t="n">
        <x:v>700053957</x:v>
      </x:c>
      <x:c r="D53" s="39" t="n">
        <x:v>700073747</x:v>
      </x:c>
      <x:c r="E53" s="39" t="n">
        <x:v>700091408</x:v>
      </x:c>
      <x:c r="F53" s="39" t="n">
        <x:v>700092500</x:v>
      </x:c>
      <x:c r="G53" s="39" t="n">
        <x:v>1</x:v>
      </x:c>
      <x:c r="H53" s="39" t="n">
        <x:v>1</x:v>
      </x:c>
      <x:c r="I53" s="39" t="n">
        <x:v>1</x:v>
      </x:c>
      <x:c r="J53" s="40" t="n">
        <x:f>B53/1000000000</x:f>
        <x:v>0.7</x:v>
      </x:c>
      <x:c r="K53" s="41" t="n">
        <x:f>IF(C53&lt;0,NA(),(F53-B53)/1000000)</x:f>
        <x:v>0.0925</x:v>
      </x:c>
      <x:c r="L53" s="39" t="n">
        <x:f>IF(C53&lt;0,1,IF(OR(G53=0,H53=0,I53=0,F53-B53&gt;100000000),1,0))</x:f>
        <x:v>0</x:v>
      </x:c>
      <x:c r="M53" s="39" t="n">
        <x:f>IF(C53&lt;0,1,0)</x:f>
        <x:v>0</x:v>
      </x:c>
      <x:c r="N53" s="1"/>
      <x:c r="O53" s="1"/>
      <x:c r="P53" s="1"/>
      <x:c r="Q53" s="1"/>
      <x:c r="R53" s="1"/>
    </x:row>
    <x:row r="54" ht="22" customHeight="1">
      <x:c r="A54" s="39" t="n">
        <x:v>8</x:v>
      </x:c>
      <x:c r="B54" s="39" t="n">
        <x:v>800000000</x:v>
      </x:c>
      <x:c r="C54" s="39" t="n">
        <x:v>800053570</x:v>
      </x:c>
      <x:c r="D54" s="39" t="n">
        <x:v>800067436</x:v>
      </x:c>
      <x:c r="E54" s="39" t="n">
        <x:v>800082042</x:v>
      </x:c>
      <x:c r="F54" s="39" t="n">
        <x:v>800083190</x:v>
      </x:c>
      <x:c r="G54" s="39" t="n">
        <x:v>1</x:v>
      </x:c>
      <x:c r="H54" s="39" t="n">
        <x:v>1</x:v>
      </x:c>
      <x:c r="I54" s="39" t="n">
        <x:v>1</x:v>
      </x:c>
      <x:c r="J54" s="40" t="n">
        <x:f>B54/1000000000</x:f>
        <x:v>0.8</x:v>
      </x:c>
      <x:c r="K54" s="41" t="n">
        <x:f>IF(C54&lt;0,NA(),(F54-B54)/1000000)</x:f>
        <x:v>0.08319</x:v>
      </x:c>
      <x:c r="L54" s="39" t="n">
        <x:f>IF(C54&lt;0,1,IF(OR(G54=0,H54=0,I54=0,F54-B54&gt;100000000),1,0))</x:f>
        <x:v>0</x:v>
      </x:c>
      <x:c r="M54" s="39" t="n">
        <x:f>IF(C54&lt;0,1,0)</x:f>
        <x:v>0</x:v>
      </x:c>
      <x:c r="N54" s="1"/>
      <x:c r="O54" s="1"/>
      <x:c r="P54" s="1"/>
      <x:c r="Q54" s="1"/>
      <x:c r="R54" s="1"/>
    </x:row>
    <x:row r="55" ht="22" customHeight="1">
      <x:c r="A55" s="39" t="n">
        <x:v>9</x:v>
      </x:c>
      <x:c r="B55" s="39" t="n">
        <x:v>900000000</x:v>
      </x:c>
      <x:c r="C55" s="39" t="n">
        <x:v>900054396</x:v>
      </x:c>
      <x:c r="D55" s="39" t="n">
        <x:v>900069762</x:v>
      </x:c>
      <x:c r="E55" s="39" t="n">
        <x:v>900084943</x:v>
      </x:c>
      <x:c r="F55" s="39" t="n">
        <x:v>900085998</x:v>
      </x:c>
      <x:c r="G55" s="39" t="n">
        <x:v>1</x:v>
      </x:c>
      <x:c r="H55" s="39" t="n">
        <x:v>1</x:v>
      </x:c>
      <x:c r="I55" s="39" t="n">
        <x:v>1</x:v>
      </x:c>
      <x:c r="J55" s="40" t="n">
        <x:f>B55/1000000000</x:f>
        <x:v>0.9</x:v>
      </x:c>
      <x:c r="K55" s="41" t="n">
        <x:f>IF(C55&lt;0,NA(),(F55-B55)/1000000)</x:f>
        <x:v>0.085998</x:v>
      </x:c>
      <x:c r="L55" s="39" t="n">
        <x:f>IF(C55&lt;0,1,IF(OR(G55=0,H55=0,I55=0,F55-B55&gt;100000000),1,0))</x:f>
        <x:v>0</x:v>
      </x:c>
      <x:c r="M55" s="39" t="n">
        <x:f>IF(C55&lt;0,1,0)</x:f>
        <x:v>0</x:v>
      </x:c>
      <x:c r="N55" s="1"/>
      <x:c r="O55" s="1"/>
      <x:c r="P55" s="1"/>
      <x:c r="Q55" s="1"/>
      <x:c r="R55" s="1"/>
    </x:row>
    <x:row r="56" ht="22" customHeight="1">
      <x:c r="A56" s="39" t="n">
        <x:v>10</x:v>
      </x:c>
      <x:c r="B56" s="39" t="n">
        <x:v>1000000000</x:v>
      </x:c>
      <x:c r="C56" s="39" t="n">
        <x:v>1000053183</x:v>
      </x:c>
      <x:c r="D56" s="39" t="n">
        <x:v>1000064069</x:v>
      </x:c>
      <x:c r="E56" s="39" t="n">
        <x:v>1000075640</x:v>
      </x:c>
      <x:c r="F56" s="39" t="n">
        <x:v>1000076825</x:v>
      </x:c>
      <x:c r="G56" s="39" t="n">
        <x:v>1</x:v>
      </x:c>
      <x:c r="H56" s="39" t="n">
        <x:v>1</x:v>
      </x:c>
      <x:c r="I56" s="39" t="n">
        <x:v>1</x:v>
      </x:c>
      <x:c r="J56" s="40" t="n">
        <x:f>B56/1000000000</x:f>
        <x:v>1</x:v>
      </x:c>
      <x:c r="K56" s="41" t="n">
        <x:f>IF(C56&lt;0,NA(),(F56-B56)/1000000)</x:f>
        <x:v>0.076825</x:v>
      </x:c>
      <x:c r="L56" s="39" t="n">
        <x:f>IF(C56&lt;0,1,IF(OR(G56=0,H56=0,I56=0,F56-B56&gt;100000000),1,0))</x:f>
        <x:v>0</x:v>
      </x:c>
      <x:c r="M56" s="39" t="n">
        <x:f>IF(C56&lt;0,1,0)</x:f>
        <x:v>0</x:v>
      </x:c>
      <x:c r="N56" s="1"/>
      <x:c r="O56" s="1"/>
      <x:c r="P56" s="1"/>
      <x:c r="Q56" s="1"/>
      <x:c r="R56" s="1"/>
    </x:row>
    <x:row r="57" ht="22" customHeight="1">
      <x:c r="A57" s="39" t="n">
        <x:v>11</x:v>
      </x:c>
      <x:c r="B57" s="39" t="n">
        <x:v>1100000000</x:v>
      </x:c>
      <x:c r="C57" s="39" t="n">
        <x:v>1100053544</x:v>
      </x:c>
      <x:c r="D57" s="39" t="n">
        <x:v>1100066448</x:v>
      </x:c>
      <x:c r="E57" s="39" t="n">
        <x:v>1100080259</x:v>
      </x:c>
      <x:c r="F57" s="39" t="n">
        <x:v>1100081185</x:v>
      </x:c>
      <x:c r="G57" s="39" t="n">
        <x:v>1</x:v>
      </x:c>
      <x:c r="H57" s="39" t="n">
        <x:v>1</x:v>
      </x:c>
      <x:c r="I57" s="39" t="n">
        <x:v>1</x:v>
      </x:c>
      <x:c r="J57" s="40" t="n">
        <x:f>B57/1000000000</x:f>
        <x:v>1.1</x:v>
      </x:c>
      <x:c r="K57" s="41" t="n">
        <x:f>IF(C57&lt;0,NA(),(F57-B57)/1000000)</x:f>
        <x:v>0.081185</x:v>
      </x:c>
      <x:c r="L57" s="39" t="n">
        <x:f>IF(C57&lt;0,1,IF(OR(G57=0,H57=0,I57=0,F57-B57&gt;100000000),1,0))</x:f>
        <x:v>0</x:v>
      </x:c>
      <x:c r="M57" s="39" t="n">
        <x:f>IF(C57&lt;0,1,0)</x:f>
        <x:v>0</x:v>
      </x:c>
      <x:c r="N57" s="1"/>
      <x:c r="O57" s="1"/>
      <x:c r="P57" s="1"/>
      <x:c r="Q57" s="1"/>
      <x:c r="R57" s="1"/>
    </x:row>
    <x:row r="58" ht="22" customHeight="1">
      <x:c r="A58" s="39" t="n">
        <x:v>12</x:v>
      </x:c>
      <x:c r="B58" s="39" t="n">
        <x:v>1200000000</x:v>
      </x:c>
      <x:c r="C58" s="39" t="n">
        <x:v>1200055035</x:v>
      </x:c>
      <x:c r="D58" s="39" t="n">
        <x:v>1200080805</x:v>
      </x:c>
      <x:c r="E58" s="39" t="n">
        <x:v>1200103465</x:v>
      </x:c>
      <x:c r="F58" s="39" t="n">
        <x:v>1200104854</x:v>
      </x:c>
      <x:c r="G58" s="39" t="n">
        <x:v>1</x:v>
      </x:c>
      <x:c r="H58" s="39" t="n">
        <x:v>1</x:v>
      </x:c>
      <x:c r="I58" s="39" t="n">
        <x:v>1</x:v>
      </x:c>
      <x:c r="J58" s="40" t="n">
        <x:f>B58/1000000000</x:f>
        <x:v>1.2</x:v>
      </x:c>
      <x:c r="K58" s="41" t="n">
        <x:f>IF(C58&lt;0,NA(),(F58-B58)/1000000)</x:f>
        <x:v>0.104854</x:v>
      </x:c>
      <x:c r="L58" s="39" t="n">
        <x:f>IF(C58&lt;0,1,IF(OR(G58=0,H58=0,I58=0,F58-B58&gt;100000000),1,0))</x:f>
        <x:v>0</x:v>
      </x:c>
      <x:c r="M58" s="39" t="n">
        <x:f>IF(C58&lt;0,1,0)</x:f>
        <x:v>0</x:v>
      </x:c>
      <x:c r="N58" s="1"/>
      <x:c r="O58" s="1"/>
      <x:c r="P58" s="1"/>
      <x:c r="Q58" s="1"/>
      <x:c r="R58" s="1"/>
    </x:row>
    <x:row r="59" ht="22" customHeight="1">
      <x:c r="A59" s="39" t="n">
        <x:v>13</x:v>
      </x:c>
      <x:c r="B59" s="39" t="n">
        <x:v>1300000000</x:v>
      </x:c>
      <x:c r="C59" s="39" t="n">
        <x:v>1300053452</x:v>
      </x:c>
      <x:c r="D59" s="39" t="n">
        <x:v>1300067578</x:v>
      </x:c>
      <x:c r="E59" s="39" t="n">
        <x:v>1300079704</x:v>
      </x:c>
      <x:c r="F59" s="39" t="n">
        <x:v>1300080703</x:v>
      </x:c>
      <x:c r="G59" s="39" t="n">
        <x:v>1</x:v>
      </x:c>
      <x:c r="H59" s="39" t="n">
        <x:v>1</x:v>
      </x:c>
      <x:c r="I59" s="39" t="n">
        <x:v>1</x:v>
      </x:c>
      <x:c r="J59" s="40" t="n">
        <x:f>B59/1000000000</x:f>
        <x:v>1.3</x:v>
      </x:c>
      <x:c r="K59" s="41" t="n">
        <x:f>IF(C59&lt;0,NA(),(F59-B59)/1000000)</x:f>
        <x:v>0.080703</x:v>
      </x:c>
      <x:c r="L59" s="39" t="n">
        <x:f>IF(C59&lt;0,1,IF(OR(G59=0,H59=0,I59=0,F59-B59&gt;100000000),1,0))</x:f>
        <x:v>0</x:v>
      </x:c>
      <x:c r="M59" s="39" t="n">
        <x:f>IF(C59&lt;0,1,0)</x:f>
        <x:v>0</x:v>
      </x:c>
      <x:c r="N59" s="1"/>
      <x:c r="O59" s="1"/>
      <x:c r="P59" s="1"/>
      <x:c r="Q59" s="1"/>
      <x:c r="R59" s="1"/>
    </x:row>
    <x:row r="60" ht="22" customHeight="1">
      <x:c r="A60" s="39" t="n">
        <x:v>14</x:v>
      </x:c>
      <x:c r="B60" s="39" t="n">
        <x:v>1400000000</x:v>
      </x:c>
      <x:c r="C60" s="39" t="n">
        <x:v>1400053128</x:v>
      </x:c>
      <x:c r="D60" s="39" t="n">
        <x:v>1400064181</x:v>
      </x:c>
      <x:c r="E60" s="39" t="n">
        <x:v>1400075918</x:v>
      </x:c>
      <x:c r="F60" s="39" t="n">
        <x:v>1400077158</x:v>
      </x:c>
      <x:c r="G60" s="39" t="n">
        <x:v>1</x:v>
      </x:c>
      <x:c r="H60" s="39" t="n">
        <x:v>1</x:v>
      </x:c>
      <x:c r="I60" s="39" t="n">
        <x:v>1</x:v>
      </x:c>
      <x:c r="J60" s="40" t="n">
        <x:f>B60/1000000000</x:f>
        <x:v>1.4</x:v>
      </x:c>
      <x:c r="K60" s="41" t="n">
        <x:f>IF(C60&lt;0,NA(),(F60-B60)/1000000)</x:f>
        <x:v>0.077158</x:v>
      </x:c>
      <x:c r="L60" s="39" t="n">
        <x:f>IF(C60&lt;0,1,IF(OR(G60=0,H60=0,I60=0,F60-B60&gt;100000000),1,0))</x:f>
        <x:v>0</x:v>
      </x:c>
      <x:c r="M60" s="39" t="n">
        <x:f>IF(C60&lt;0,1,0)</x:f>
        <x:v>0</x:v>
      </x:c>
      <x:c r="N60" s="1"/>
      <x:c r="O60" s="1"/>
      <x:c r="P60" s="1"/>
      <x:c r="Q60" s="1"/>
      <x:c r="R60" s="1"/>
    </x:row>
    <x:row r="61" ht="22" customHeight="1">
      <x:c r="A61" s="39" t="n">
        <x:v>15</x:v>
      </x:c>
      <x:c r="B61" s="39" t="n">
        <x:v>1500000000</x:v>
      </x:c>
      <x:c r="C61" s="39" t="n">
        <x:v>1500053971</x:v>
      </x:c>
      <x:c r="D61" s="39" t="n">
        <x:v>1500068818</x:v>
      </x:c>
      <x:c r="E61" s="39" t="n">
        <x:v>1500083573</x:v>
      </x:c>
      <x:c r="F61" s="39" t="n">
        <x:v>1500084647</x:v>
      </x:c>
      <x:c r="G61" s="39" t="n">
        <x:v>1</x:v>
      </x:c>
      <x:c r="H61" s="39" t="n">
        <x:v>1</x:v>
      </x:c>
      <x:c r="I61" s="39" t="n">
        <x:v>1</x:v>
      </x:c>
      <x:c r="J61" s="40" t="n">
        <x:f>B61/1000000000</x:f>
        <x:v>1.5</x:v>
      </x:c>
      <x:c r="K61" s="41" t="n">
        <x:f>IF(C61&lt;0,NA(),(F61-B61)/1000000)</x:f>
        <x:v>0.084647</x:v>
      </x:c>
      <x:c r="L61" s="39" t="n">
        <x:f>IF(C61&lt;0,1,IF(OR(G61=0,H61=0,I61=0,F61-B61&gt;100000000),1,0))</x:f>
        <x:v>0</x:v>
      </x:c>
      <x:c r="M61" s="39" t="n">
        <x:f>IF(C61&lt;0,1,0)</x:f>
        <x:v>0</x:v>
      </x:c>
      <x:c r="N61" s="1"/>
      <x:c r="O61" s="1"/>
      <x:c r="P61" s="1"/>
      <x:c r="Q61" s="1"/>
      <x:c r="R61" s="1"/>
    </x:row>
    <x:row r="62" ht="22" customHeight="1">
      <x:c r="A62" s="39" t="n">
        <x:v>16</x:v>
      </x:c>
      <x:c r="B62" s="39" t="n">
        <x:v>1600000000</x:v>
      </x:c>
      <x:c r="C62" s="39" t="n">
        <x:v>1600053813</x:v>
      </x:c>
      <x:c r="D62" s="39" t="n">
        <x:v>1600068476</x:v>
      </x:c>
      <x:c r="E62" s="39" t="n">
        <x:v>1600083175</x:v>
      </x:c>
      <x:c r="F62" s="39" t="n">
        <x:v>1600084545</x:v>
      </x:c>
      <x:c r="G62" s="39" t="n">
        <x:v>1</x:v>
      </x:c>
      <x:c r="H62" s="39" t="n">
        <x:v>1</x:v>
      </x:c>
      <x:c r="I62" s="39" t="n">
        <x:v>1</x:v>
      </x:c>
      <x:c r="J62" s="40" t="n">
        <x:f>B62/1000000000</x:f>
        <x:v>1.6</x:v>
      </x:c>
      <x:c r="K62" s="41" t="n">
        <x:f>IF(C62&lt;0,NA(),(F62-B62)/1000000)</x:f>
        <x:v>0.084545</x:v>
      </x:c>
      <x:c r="L62" s="39" t="n">
        <x:f>IF(C62&lt;0,1,IF(OR(G62=0,H62=0,I62=0,F62-B62&gt;100000000),1,0))</x:f>
        <x:v>0</x:v>
      </x:c>
      <x:c r="M62" s="39" t="n">
        <x:f>IF(C62&lt;0,1,0)</x:f>
        <x:v>0</x:v>
      </x:c>
      <x:c r="N62" s="1"/>
      <x:c r="O62" s="1"/>
      <x:c r="P62" s="1"/>
      <x:c r="Q62" s="1"/>
      <x:c r="R62" s="1"/>
    </x:row>
    <x:row r="63" ht="22" customHeight="1">
      <x:c r="A63" s="39" t="n">
        <x:v>17</x:v>
      </x:c>
      <x:c r="B63" s="39" t="n">
        <x:v>1700000000</x:v>
      </x:c>
      <x:c r="C63" s="39" t="n">
        <x:v>1700053008</x:v>
      </x:c>
      <x:c r="D63" s="39" t="n">
        <x:v>1700065856</x:v>
      </x:c>
      <x:c r="E63" s="39" t="n">
        <x:v>1700077446</x:v>
      </x:c>
      <x:c r="F63" s="39" t="n">
        <x:v>1700078649</x:v>
      </x:c>
      <x:c r="G63" s="39" t="n">
        <x:v>1</x:v>
      </x:c>
      <x:c r="H63" s="39" t="n">
        <x:v>1</x:v>
      </x:c>
      <x:c r="I63" s="39" t="n">
        <x:v>1</x:v>
      </x:c>
      <x:c r="J63" s="40" t="n">
        <x:f>B63/1000000000</x:f>
        <x:v>1.7</x:v>
      </x:c>
      <x:c r="K63" s="41" t="n">
        <x:f>IF(C63&lt;0,NA(),(F63-B63)/1000000)</x:f>
        <x:v>0.078649</x:v>
      </x:c>
      <x:c r="L63" s="39" t="n">
        <x:f>IF(C63&lt;0,1,IF(OR(G63=0,H63=0,I63=0,F63-B63&gt;100000000),1,0))</x:f>
        <x:v>0</x:v>
      </x:c>
      <x:c r="M63" s="39" t="n">
        <x:f>IF(C63&lt;0,1,0)</x:f>
        <x:v>0</x:v>
      </x:c>
      <x:c r="N63" s="1"/>
      <x:c r="O63" s="1"/>
      <x:c r="P63" s="1"/>
      <x:c r="Q63" s="1"/>
      <x:c r="R63" s="1"/>
    </x:row>
    <x:row r="64" ht="22" customHeight="1">
      <x:c r="A64" s="39" t="n">
        <x:v>18</x:v>
      </x:c>
      <x:c r="B64" s="39" t="n">
        <x:v>1800000000</x:v>
      </x:c>
      <x:c r="C64" s="39" t="n">
        <x:v>1800054739</x:v>
      </x:c>
      <x:c r="D64" s="39" t="n">
        <x:v>1800075863</x:v>
      </x:c>
      <x:c r="E64" s="39" t="n">
        <x:v>1800092969</x:v>
      </x:c>
      <x:c r="F64" s="39" t="n">
        <x:v>1800094746</x:v>
      </x:c>
      <x:c r="G64" s="39" t="n">
        <x:v>1</x:v>
      </x:c>
      <x:c r="H64" s="39" t="n">
        <x:v>1</x:v>
      </x:c>
      <x:c r="I64" s="39" t="n">
        <x:v>1</x:v>
      </x:c>
      <x:c r="J64" s="40" t="n">
        <x:f>B64/1000000000</x:f>
        <x:v>1.8</x:v>
      </x:c>
      <x:c r="K64" s="41" t="n">
        <x:f>IF(C64&lt;0,NA(),(F64-B64)/1000000)</x:f>
        <x:v>0.094746</x:v>
      </x:c>
      <x:c r="L64" s="39" t="n">
        <x:f>IF(C64&lt;0,1,IF(OR(G64=0,H64=0,I64=0,F64-B64&gt;100000000),1,0))</x:f>
        <x:v>0</x:v>
      </x:c>
      <x:c r="M64" s="39" t="n">
        <x:f>IF(C64&lt;0,1,0)</x:f>
        <x:v>0</x:v>
      </x:c>
      <x:c r="N64" s="1"/>
      <x:c r="O64" s="1"/>
      <x:c r="P64" s="1"/>
      <x:c r="Q64" s="1"/>
      <x:c r="R64" s="1"/>
    </x:row>
    <x:row r="65" ht="22" customHeight="1">
      <x:c r="A65" s="39" t="n">
        <x:v>19</x:v>
      </x:c>
      <x:c r="B65" s="39" t="n">
        <x:v>1900000000</x:v>
      </x:c>
      <x:c r="C65" s="39" t="n">
        <x:v>1900055274</x:v>
      </x:c>
      <x:c r="D65" s="39" t="n">
        <x:v>1900085637</x:v>
      </x:c>
      <x:c r="E65" s="39" t="n">
        <x:v>1900106854</x:v>
      </x:c>
      <x:c r="F65" s="39" t="n">
        <x:v>1900109020</x:v>
      </x:c>
      <x:c r="G65" s="39" t="n">
        <x:v>1</x:v>
      </x:c>
      <x:c r="H65" s="39" t="n">
        <x:v>1</x:v>
      </x:c>
      <x:c r="I65" s="39" t="n">
        <x:v>1</x:v>
      </x:c>
      <x:c r="J65" s="40" t="n">
        <x:f>B65/1000000000</x:f>
        <x:v>1.9</x:v>
      </x:c>
      <x:c r="K65" s="41" t="n">
        <x:f>IF(C65&lt;0,NA(),(F65-B65)/1000000)</x:f>
        <x:v>0.10902</x:v>
      </x:c>
      <x:c r="L65" s="39" t="n">
        <x:f>IF(C65&lt;0,1,IF(OR(G65=0,H65=0,I65=0,F65-B65&gt;100000000),1,0))</x:f>
        <x:v>0</x:v>
      </x:c>
      <x:c r="M65" s="39" t="n">
        <x:f>IF(C65&lt;0,1,0)</x:f>
        <x:v>0</x:v>
      </x:c>
      <x:c r="N65" s="1"/>
      <x:c r="O65" s="1"/>
      <x:c r="P65" s="1"/>
      <x:c r="Q65" s="1"/>
      <x:c r="R65" s="1"/>
    </x:row>
    <x:row r="66" ht="22" customHeight="1">
      <x:c r="A66" s="39" t="n">
        <x:v>20</x:v>
      </x:c>
      <x:c r="B66" s="39" t="n">
        <x:v>2000000000</x:v>
      </x:c>
      <x:c r="C66" s="39" t="n">
        <x:v>2000054005</x:v>
      </x:c>
      <x:c r="D66" s="39" t="n">
        <x:v>2000067261</x:v>
      </x:c>
      <x:c r="E66" s="39" t="n">
        <x:v>2000080332</x:v>
      </x:c>
      <x:c r="F66" s="39" t="n">
        <x:v>2000081906</x:v>
      </x:c>
      <x:c r="G66" s="39" t="n">
        <x:v>1</x:v>
      </x:c>
      <x:c r="H66" s="39" t="n">
        <x:v>1</x:v>
      </x:c>
      <x:c r="I66" s="39" t="n">
        <x:v>1</x:v>
      </x:c>
      <x:c r="J66" s="40" t="n">
        <x:f>B66/1000000000</x:f>
        <x:v>2</x:v>
      </x:c>
      <x:c r="K66" s="41" t="n">
        <x:f>IF(C66&lt;0,NA(),(F66-B66)/1000000)</x:f>
        <x:v>0.081906</x:v>
      </x:c>
      <x:c r="L66" s="39" t="n">
        <x:f>IF(C66&lt;0,1,IF(OR(G66=0,H66=0,I66=0,F66-B66&gt;100000000),1,0))</x:f>
        <x:v>0</x:v>
      </x:c>
      <x:c r="M66" s="39" t="n">
        <x:f>IF(C66&lt;0,1,0)</x:f>
        <x:v>0</x:v>
      </x:c>
      <x:c r="N66" s="1"/>
      <x:c r="O66" s="1"/>
      <x:c r="P66" s="1"/>
      <x:c r="Q66" s="1"/>
      <x:c r="R66" s="1"/>
    </x:row>
    <x:row r="67" ht="22" customHeight="1">
      <x:c r="A67" s="39" t="n">
        <x:v>21</x:v>
      </x:c>
      <x:c r="B67" s="39" t="n">
        <x:v>2100000000</x:v>
      </x:c>
      <x:c r="C67" s="39" t="n">
        <x:v>2100056255</x:v>
      </x:c>
      <x:c r="D67" s="39" t="n">
        <x:v>2100078934</x:v>
      </x:c>
      <x:c r="E67" s="39" t="n">
        <x:v>2100099392</x:v>
      </x:c>
      <x:c r="F67" s="39" t="n">
        <x:v>2100100781</x:v>
      </x:c>
      <x:c r="G67" s="39" t="n">
        <x:v>1</x:v>
      </x:c>
      <x:c r="H67" s="39" t="n">
        <x:v>1</x:v>
      </x:c>
      <x:c r="I67" s="39" t="n">
        <x:v>1</x:v>
      </x:c>
      <x:c r="J67" s="40" t="n">
        <x:f>B67/1000000000</x:f>
        <x:v>2.1</x:v>
      </x:c>
      <x:c r="K67" s="41" t="n">
        <x:f>IF(C67&lt;0,NA(),(F67-B67)/1000000)</x:f>
        <x:v>0.100781</x:v>
      </x:c>
      <x:c r="L67" s="39" t="n">
        <x:f>IF(C67&lt;0,1,IF(OR(G67=0,H67=0,I67=0,F67-B67&gt;100000000),1,0))</x:f>
        <x:v>0</x:v>
      </x:c>
      <x:c r="M67" s="39" t="n">
        <x:f>IF(C67&lt;0,1,0)</x:f>
        <x:v>0</x:v>
      </x:c>
      <x:c r="N67" s="1"/>
      <x:c r="O67" s="1"/>
      <x:c r="P67" s="1"/>
      <x:c r="Q67" s="1"/>
      <x:c r="R67" s="1"/>
    </x:row>
    <x:row r="68" ht="22" customHeight="1">
      <x:c r="A68" s="39" t="n">
        <x:v>22</x:v>
      </x:c>
      <x:c r="B68" s="39" t="n">
        <x:v>2200000000</x:v>
      </x:c>
      <x:c r="C68" s="39" t="n">
        <x:v>2200053339</x:v>
      </x:c>
      <x:c r="D68" s="39" t="n">
        <x:v>2200067502</x:v>
      </x:c>
      <x:c r="E68" s="39" t="n">
        <x:v>2200082405</x:v>
      </x:c>
      <x:c r="F68" s="39" t="n">
        <x:v>2200083998</x:v>
      </x:c>
      <x:c r="G68" s="39" t="n">
        <x:v>1</x:v>
      </x:c>
      <x:c r="H68" s="39" t="n">
        <x:v>1</x:v>
      </x:c>
      <x:c r="I68" s="39" t="n">
        <x:v>1</x:v>
      </x:c>
      <x:c r="J68" s="40" t="n">
        <x:f>B68/1000000000</x:f>
        <x:v>2.2</x:v>
      </x:c>
      <x:c r="K68" s="41" t="n">
        <x:f>IF(C68&lt;0,NA(),(F68-B68)/1000000)</x:f>
        <x:v>0.083998</x:v>
      </x:c>
      <x:c r="L68" s="39" t="n">
        <x:f>IF(C68&lt;0,1,IF(OR(G68=0,H68=0,I68=0,F68-B68&gt;100000000),1,0))</x:f>
        <x:v>0</x:v>
      </x:c>
      <x:c r="M68" s="39" t="n">
        <x:f>IF(C68&lt;0,1,0)</x:f>
        <x:v>0</x:v>
      </x:c>
      <x:c r="N68" s="1"/>
      <x:c r="O68" s="1"/>
      <x:c r="P68" s="1"/>
      <x:c r="Q68" s="1"/>
      <x:c r="R68" s="1"/>
    </x:row>
    <x:row r="69" ht="22" customHeight="1">
      <x:c r="A69" s="39" t="n">
        <x:v>23</x:v>
      </x:c>
      <x:c r="B69" s="39" t="n">
        <x:v>2300000000</x:v>
      </x:c>
      <x:c r="C69" s="39" t="n">
        <x:v>2300051163</x:v>
      </x:c>
      <x:c r="D69" s="39" t="n">
        <x:v>2300071399</x:v>
      </x:c>
      <x:c r="E69" s="39" t="n">
        <x:v>2300090116</x:v>
      </x:c>
      <x:c r="F69" s="39" t="n">
        <x:v>2300092042</x:v>
      </x:c>
      <x:c r="G69" s="39" t="n">
        <x:v>1</x:v>
      </x:c>
      <x:c r="H69" s="39" t="n">
        <x:v>1</x:v>
      </x:c>
      <x:c r="I69" s="39" t="n">
        <x:v>1</x:v>
      </x:c>
      <x:c r="J69" s="40" t="n">
        <x:f>B69/1000000000</x:f>
        <x:v>2.3</x:v>
      </x:c>
      <x:c r="K69" s="41" t="n">
        <x:f>IF(C69&lt;0,NA(),(F69-B69)/1000000)</x:f>
        <x:v>0.092042</x:v>
      </x:c>
      <x:c r="L69" s="39" t="n">
        <x:f>IF(C69&lt;0,1,IF(OR(G69=0,H69=0,I69=0,F69-B69&gt;100000000),1,0))</x:f>
        <x:v>0</x:v>
      </x:c>
      <x:c r="M69" s="39" t="n">
        <x:f>IF(C69&lt;0,1,0)</x:f>
        <x:v>0</x:v>
      </x:c>
      <x:c r="N69" s="1"/>
      <x:c r="O69" s="1"/>
      <x:c r="P69" s="1"/>
      <x:c r="Q69" s="1"/>
      <x:c r="R69" s="1"/>
    </x:row>
    <x:row r="70" ht="22" customHeight="1">
      <x:c r="A70" s="39" t="n">
        <x:v>24</x:v>
      </x:c>
      <x:c r="B70" s="39" t="n">
        <x:v>2400000000</x:v>
      </x:c>
      <x:c r="C70" s="39" t="n">
        <x:v>2400052246</x:v>
      </x:c>
      <x:c r="D70" s="39" t="n">
        <x:v>2400073963</x:v>
      </x:c>
      <x:c r="E70" s="39" t="n">
        <x:v>2400092310</x:v>
      </x:c>
      <x:c r="F70" s="39" t="n">
        <x:v>2400094198</x:v>
      </x:c>
      <x:c r="G70" s="39" t="n">
        <x:v>1</x:v>
      </x:c>
      <x:c r="H70" s="39" t="n">
        <x:v>1</x:v>
      </x:c>
      <x:c r="I70" s="39" t="n">
        <x:v>1</x:v>
      </x:c>
      <x:c r="J70" s="40" t="n">
        <x:f>B70/1000000000</x:f>
        <x:v>2.4</x:v>
      </x:c>
      <x:c r="K70" s="41" t="n">
        <x:f>IF(C70&lt;0,NA(),(F70-B70)/1000000)</x:f>
        <x:v>0.094198</x:v>
      </x:c>
      <x:c r="L70" s="39" t="n">
        <x:f>IF(C70&lt;0,1,IF(OR(G70=0,H70=0,I70=0,F70-B70&gt;100000000),1,0))</x:f>
        <x:v>0</x:v>
      </x:c>
      <x:c r="M70" s="39" t="n">
        <x:f>IF(C70&lt;0,1,0)</x:f>
        <x:v>0</x:v>
      </x:c>
      <x:c r="N70" s="1"/>
      <x:c r="O70" s="1"/>
      <x:c r="P70" s="1"/>
      <x:c r="Q70" s="1"/>
      <x:c r="R70" s="1"/>
    </x:row>
    <x:row r="71" ht="22" customHeight="1">
      <x:c r="A71" s="39" t="n">
        <x:v>25</x:v>
      </x:c>
      <x:c r="B71" s="39" t="n">
        <x:v>2500000000</x:v>
      </x:c>
      <x:c r="C71" s="39" t="n">
        <x:v>2500050533</x:v>
      </x:c>
      <x:c r="D71" s="39" t="n">
        <x:v>2500067029</x:v>
      </x:c>
      <x:c r="E71" s="39" t="n">
        <x:v>2500082840</x:v>
      </x:c>
      <x:c r="F71" s="39" t="n">
        <x:v>2500084451</x:v>
      </x:c>
      <x:c r="G71" s="39" t="n">
        <x:v>1</x:v>
      </x:c>
      <x:c r="H71" s="39" t="n">
        <x:v>1</x:v>
      </x:c>
      <x:c r="I71" s="39" t="n">
        <x:v>1</x:v>
      </x:c>
      <x:c r="J71" s="40" t="n">
        <x:f>B71/1000000000</x:f>
        <x:v>2.5</x:v>
      </x:c>
      <x:c r="K71" s="41" t="n">
        <x:f>IF(C71&lt;0,NA(),(F71-B71)/1000000)</x:f>
        <x:v>0.084451</x:v>
      </x:c>
      <x:c r="L71" s="39" t="n">
        <x:f>IF(C71&lt;0,1,IF(OR(G71=0,H71=0,I71=0,F71-B71&gt;100000000),1,0))</x:f>
        <x:v>0</x:v>
      </x:c>
      <x:c r="M71" s="39" t="n">
        <x:f>IF(C71&lt;0,1,0)</x:f>
        <x:v>0</x:v>
      </x:c>
      <x:c r="N71" s="1"/>
      <x:c r="O71" s="1"/>
      <x:c r="P71" s="1"/>
      <x:c r="Q71" s="1"/>
      <x:c r="R71" s="1"/>
    </x:row>
    <x:row r="72" ht="22" customHeight="1">
      <x:c r="A72" s="39" t="n">
        <x:v>26</x:v>
      </x:c>
      <x:c r="B72" s="39" t="n">
        <x:v>2600000000</x:v>
      </x:c>
      <x:c r="C72" s="39" t="n">
        <x:v>2600050079</x:v>
      </x:c>
      <x:c r="D72" s="39" t="n">
        <x:v>2600061336</x:v>
      </x:c>
      <x:c r="E72" s="39" t="n">
        <x:v>2600073685</x:v>
      </x:c>
      <x:c r="F72" s="39" t="n">
        <x:v>2600075517</x:v>
      </x:c>
      <x:c r="G72" s="39" t="n">
        <x:v>1</x:v>
      </x:c>
      <x:c r="H72" s="39" t="n">
        <x:v>1</x:v>
      </x:c>
      <x:c r="I72" s="39" t="n">
        <x:v>1</x:v>
      </x:c>
      <x:c r="J72" s="40" t="n">
        <x:f>B72/1000000000</x:f>
        <x:v>2.6</x:v>
      </x:c>
      <x:c r="K72" s="41" t="n">
        <x:f>IF(C72&lt;0,NA(),(F72-B72)/1000000)</x:f>
        <x:v>0.075517</x:v>
      </x:c>
      <x:c r="L72" s="39" t="n">
        <x:f>IF(C72&lt;0,1,IF(OR(G72=0,H72=0,I72=0,F72-B72&gt;100000000),1,0))</x:f>
        <x:v>0</x:v>
      </x:c>
      <x:c r="M72" s="39" t="n">
        <x:f>IF(C72&lt;0,1,0)</x:f>
        <x:v>0</x:v>
      </x:c>
      <x:c r="N72" s="1"/>
      <x:c r="O72" s="1"/>
      <x:c r="P72" s="1"/>
      <x:c r="Q72" s="1"/>
      <x:c r="R72" s="1"/>
    </x:row>
    <x:row r="73" ht="22" customHeight="1">
      <x:c r="A73" s="39" t="n">
        <x:v>27</x:v>
      </x:c>
      <x:c r="B73" s="39" t="n">
        <x:v>2700000000</x:v>
      </x:c>
      <x:c r="C73" s="39" t="n">
        <x:v>2700049700</x:v>
      </x:c>
      <x:c r="D73" s="39" t="n">
        <x:v>2700059253</x:v>
      </x:c>
      <x:c r="E73" s="39" t="n">
        <x:v>2700069991</x:v>
      </x:c>
      <x:c r="F73" s="39" t="n">
        <x:v>2700071620</x:v>
      </x:c>
      <x:c r="G73" s="39" t="n">
        <x:v>1</x:v>
      </x:c>
      <x:c r="H73" s="39" t="n">
        <x:v>1</x:v>
      </x:c>
      <x:c r="I73" s="39" t="n">
        <x:v>1</x:v>
      </x:c>
      <x:c r="J73" s="40" t="n">
        <x:f>B73/1000000000</x:f>
        <x:v>2.7</x:v>
      </x:c>
      <x:c r="K73" s="41" t="n">
        <x:f>IF(C73&lt;0,NA(),(F73-B73)/1000000)</x:f>
        <x:v>0.07162</x:v>
      </x:c>
      <x:c r="L73" s="39" t="n">
        <x:f>IF(C73&lt;0,1,IF(OR(G73=0,H73=0,I73=0,F73-B73&gt;100000000),1,0))</x:f>
        <x:v>0</x:v>
      </x:c>
      <x:c r="M73" s="39" t="n">
        <x:f>IF(C73&lt;0,1,0)</x:f>
        <x:v>0</x:v>
      </x:c>
      <x:c r="N73" s="1"/>
      <x:c r="O73" s="1"/>
      <x:c r="P73" s="1"/>
      <x:c r="Q73" s="1"/>
      <x:c r="R73" s="1"/>
    </x:row>
    <x:row r="74" ht="22" customHeight="1">
      <x:c r="A74" s="39" t="n">
        <x:v>28</x:v>
      </x:c>
      <x:c r="B74" s="39" t="n">
        <x:v>2800000000</x:v>
      </x:c>
      <x:c r="C74" s="39" t="n">
        <x:v>2800049505</x:v>
      </x:c>
      <x:c r="D74" s="39" t="n">
        <x:v>2800059003</x:v>
      </x:c>
      <x:c r="E74" s="39" t="n">
        <x:v>2800069037</x:v>
      </x:c>
      <x:c r="F74" s="39" t="n">
        <x:v>2800070796</x:v>
      </x:c>
      <x:c r="G74" s="39" t="n">
        <x:v>1</x:v>
      </x:c>
      <x:c r="H74" s="39" t="n">
        <x:v>1</x:v>
      </x:c>
      <x:c r="I74" s="39" t="n">
        <x:v>1</x:v>
      </x:c>
      <x:c r="J74" s="40" t="n">
        <x:f>B74/1000000000</x:f>
        <x:v>2.8</x:v>
      </x:c>
      <x:c r="K74" s="41" t="n">
        <x:f>IF(C74&lt;0,NA(),(F74-B74)/1000000)</x:f>
        <x:v>0.070796</x:v>
      </x:c>
      <x:c r="L74" s="39" t="n">
        <x:f>IF(C74&lt;0,1,IF(OR(G74=0,H74=0,I74=0,F74-B74&gt;100000000),1,0))</x:f>
        <x:v>0</x:v>
      </x:c>
      <x:c r="M74" s="39" t="n">
        <x:f>IF(C74&lt;0,1,0)</x:f>
        <x:v>0</x:v>
      </x:c>
      <x:c r="N74" s="1"/>
      <x:c r="O74" s="1"/>
      <x:c r="P74" s="1"/>
      <x:c r="Q74" s="1"/>
      <x:c r="R74" s="1"/>
    </x:row>
    <x:row r="75" ht="22" customHeight="1">
      <x:c r="A75" s="39" t="n">
        <x:v>29</x:v>
      </x:c>
      <x:c r="B75" s="39" t="n">
        <x:v>2900000000</x:v>
      </x:c>
      <x:c r="C75" s="39" t="n">
        <x:v>2900053792</x:v>
      </x:c>
      <x:c r="D75" s="39" t="n">
        <x:v>2900068215</x:v>
      </x:c>
      <x:c r="E75" s="39" t="n">
        <x:v>2900081286</x:v>
      </x:c>
      <x:c r="F75" s="39" t="n">
        <x:v>2900083452</x:v>
      </x:c>
      <x:c r="G75" s="39" t="n">
        <x:v>1</x:v>
      </x:c>
      <x:c r="H75" s="39" t="n">
        <x:v>1</x:v>
      </x:c>
      <x:c r="I75" s="39" t="n">
        <x:v>1</x:v>
      </x:c>
      <x:c r="J75" s="40" t="n">
        <x:f>B75/1000000000</x:f>
        <x:v>2.9</x:v>
      </x:c>
      <x:c r="K75" s="41" t="n">
        <x:f>IF(C75&lt;0,NA(),(F75-B75)/1000000)</x:f>
        <x:v>0.083452</x:v>
      </x:c>
      <x:c r="L75" s="39" t="n">
        <x:f>IF(C75&lt;0,1,IF(OR(G75=0,H75=0,I75=0,F75-B75&gt;100000000),1,0))</x:f>
        <x:v>0</x:v>
      </x:c>
      <x:c r="M75" s="39" t="n">
        <x:f>IF(C75&lt;0,1,0)</x:f>
        <x:v>0</x:v>
      </x:c>
      <x:c r="N75" s="1"/>
      <x:c r="O75" s="1"/>
      <x:c r="P75" s="1"/>
      <x:c r="Q75" s="1"/>
      <x:c r="R75" s="1"/>
    </x:row>
    <x:row r="76" ht="22" customHeight="1">
      <x:c r="A76" s="39" t="n">
        <x:v>30</x:v>
      </x:c>
      <x:c r="B76" s="39" t="n">
        <x:v>3000000000</x:v>
      </x:c>
      <x:c r="C76" s="39" t="n">
        <x:v>3000057003</x:v>
      </x:c>
      <x:c r="D76" s="39" t="n">
        <x:v>3000087645</x:v>
      </x:c>
      <x:c r="E76" s="39" t="n">
        <x:v>3000113584</x:v>
      </x:c>
      <x:c r="F76" s="39" t="n">
        <x:v>3000116102</x:v>
      </x:c>
      <x:c r="G76" s="39" t="n">
        <x:v>1</x:v>
      </x:c>
      <x:c r="H76" s="39" t="n">
        <x:v>1</x:v>
      </x:c>
      <x:c r="I76" s="39" t="n">
        <x:v>1</x:v>
      </x:c>
      <x:c r="J76" s="40" t="n">
        <x:f>B76/1000000000</x:f>
        <x:v>3</x:v>
      </x:c>
      <x:c r="K76" s="41" t="n">
        <x:f>IF(C76&lt;0,NA(),(F76-B76)/1000000)</x:f>
        <x:v>0.116102</x:v>
      </x:c>
      <x:c r="L76" s="39" t="n">
        <x:f>IF(C76&lt;0,1,IF(OR(G76=0,H76=0,I76=0,F76-B76&gt;100000000),1,0))</x:f>
        <x:v>0</x:v>
      </x:c>
      <x:c r="M76" s="39" t="n">
        <x:f>IF(C76&lt;0,1,0)</x:f>
        <x:v>0</x:v>
      </x:c>
      <x:c r="N76" s="1"/>
      <x:c r="O76" s="1"/>
      <x:c r="P76" s="1"/>
      <x:c r="Q76" s="1"/>
      <x:c r="R76" s="1"/>
    </x:row>
    <x:row r="77" ht="22" customHeight="1">
      <x:c r="A77" s="39" t="n">
        <x:v>31</x:v>
      </x:c>
      <x:c r="B77" s="39" t="n">
        <x:v>3100000000</x:v>
      </x:c>
      <x:c r="C77" s="39" t="n">
        <x:v>3100054790</x:v>
      </x:c>
      <x:c r="D77" s="39" t="n">
        <x:v>3100070879</x:v>
      </x:c>
      <x:c r="E77" s="39" t="n">
        <x:v>3100086265</x:v>
      </x:c>
      <x:c r="F77" s="39" t="n">
        <x:v>3100088246</x:v>
      </x:c>
      <x:c r="G77" s="39" t="n">
        <x:v>1</x:v>
      </x:c>
      <x:c r="H77" s="39" t="n">
        <x:v>1</x:v>
      </x:c>
      <x:c r="I77" s="39" t="n">
        <x:v>1</x:v>
      </x:c>
      <x:c r="J77" s="40" t="n">
        <x:f>B77/1000000000</x:f>
        <x:v>3.1</x:v>
      </x:c>
      <x:c r="K77" s="41" t="n">
        <x:f>IF(C77&lt;0,NA(),(F77-B77)/1000000)</x:f>
        <x:v>0.088246</x:v>
      </x:c>
      <x:c r="L77" s="39" t="n">
        <x:f>IF(C77&lt;0,1,IF(OR(G77=0,H77=0,I77=0,F77-B77&gt;100000000),1,0))</x:f>
        <x:v>0</x:v>
      </x:c>
      <x:c r="M77" s="39" t="n">
        <x:f>IF(C77&lt;0,1,0)</x:f>
        <x:v>0</x:v>
      </x:c>
      <x:c r="N77" s="1"/>
      <x:c r="O77" s="1"/>
      <x:c r="P77" s="1"/>
      <x:c r="Q77" s="1"/>
      <x:c r="R77" s="1"/>
    </x:row>
    <x:row r="78" ht="22" customHeight="1">
      <x:c r="A78" s="39" t="n">
        <x:v>32</x:v>
      </x:c>
      <x:c r="B78" s="39" t="n">
        <x:v>3200000000</x:v>
      </x:c>
      <x:c r="C78" s="39" t="n">
        <x:v>3200053225</x:v>
      </x:c>
      <x:c r="D78" s="39" t="n">
        <x:v>3200069758</x:v>
      </x:c>
      <x:c r="E78" s="39" t="n">
        <x:v>3200084977</x:v>
      </x:c>
      <x:c r="F78" s="39" t="n">
        <x:v>3200087181</x:v>
      </x:c>
      <x:c r="G78" s="39" t="n">
        <x:v>1</x:v>
      </x:c>
      <x:c r="H78" s="39" t="n">
        <x:v>1</x:v>
      </x:c>
      <x:c r="I78" s="39" t="n">
        <x:v>1</x:v>
      </x:c>
      <x:c r="J78" s="40" t="n">
        <x:f>B78/1000000000</x:f>
        <x:v>3.2</x:v>
      </x:c>
      <x:c r="K78" s="41" t="n">
        <x:f>IF(C78&lt;0,NA(),(F78-B78)/1000000)</x:f>
        <x:v>0.087181</x:v>
      </x:c>
      <x:c r="L78" s="39" t="n">
        <x:f>IF(C78&lt;0,1,IF(OR(G78=0,H78=0,I78=0,F78-B78&gt;100000000),1,0))</x:f>
        <x:v>0</x:v>
      </x:c>
      <x:c r="M78" s="39" t="n">
        <x:f>IF(C78&lt;0,1,0)</x:f>
        <x:v>0</x:v>
      </x:c>
      <x:c r="N78" s="1"/>
      <x:c r="O78" s="1"/>
      <x:c r="P78" s="1"/>
      <x:c r="Q78" s="1"/>
      <x:c r="R78" s="1"/>
    </x:row>
    <x:row r="79" ht="22" customHeight="1">
      <x:c r="A79" s="39" t="n">
        <x:v>33</x:v>
      </x:c>
      <x:c r="B79" s="39" t="n">
        <x:v>3300000000</x:v>
      </x:c>
      <x:c r="C79" s="39" t="n">
        <x:v>3300050662</x:v>
      </x:c>
      <x:c r="D79" s="39" t="n">
        <x:v>3300064085</x:v>
      </x:c>
      <x:c r="E79" s="39" t="n">
        <x:v>3300078174</x:v>
      </x:c>
      <x:c r="F79" s="39" t="n">
        <x:v>3300080063</x:v>
      </x:c>
      <x:c r="G79" s="39" t="n">
        <x:v>1</x:v>
      </x:c>
      <x:c r="H79" s="39" t="n">
        <x:v>1</x:v>
      </x:c>
      <x:c r="I79" s="39" t="n">
        <x:v>1</x:v>
      </x:c>
      <x:c r="J79" s="40" t="n">
        <x:f>B79/1000000000</x:f>
        <x:v>3.3</x:v>
      </x:c>
      <x:c r="K79" s="41" t="n">
        <x:f>IF(C79&lt;0,NA(),(F79-B79)/1000000)</x:f>
        <x:v>0.080063</x:v>
      </x:c>
      <x:c r="L79" s="39" t="n">
        <x:f>IF(C79&lt;0,1,IF(OR(G79=0,H79=0,I79=0,F79-B79&gt;100000000),1,0))</x:f>
        <x:v>0</x:v>
      </x:c>
      <x:c r="M79" s="39" t="n">
        <x:f>IF(C79&lt;0,1,0)</x:f>
        <x:v>0</x:v>
      </x:c>
      <x:c r="N79" s="1"/>
      <x:c r="O79" s="1"/>
      <x:c r="P79" s="1"/>
      <x:c r="Q79" s="1"/>
      <x:c r="R79" s="1"/>
    </x:row>
    <x:row r="80" ht="22" customHeight="1">
      <x:c r="A80" s="39" t="n">
        <x:v>34</x:v>
      </x:c>
      <x:c r="B80" s="39" t="n">
        <x:v>3400000000</x:v>
      </x:c>
      <x:c r="C80" s="39" t="n">
        <x:v>3400049965</x:v>
      </x:c>
      <x:c r="D80" s="39" t="n">
        <x:v>3400058740</x:v>
      </x:c>
      <x:c r="E80" s="39" t="n">
        <x:v>3400068960</x:v>
      </x:c>
      <x:c r="F80" s="39" t="n">
        <x:v>3400071126</x:v>
      </x:c>
      <x:c r="G80" s="39" t="n">
        <x:v>1</x:v>
      </x:c>
      <x:c r="H80" s="39" t="n">
        <x:v>1</x:v>
      </x:c>
      <x:c r="I80" s="39" t="n">
        <x:v>1</x:v>
      </x:c>
      <x:c r="J80" s="40" t="n">
        <x:f>B80/1000000000</x:f>
        <x:v>3.4</x:v>
      </x:c>
      <x:c r="K80" s="41" t="n">
        <x:f>IF(C80&lt;0,NA(),(F80-B80)/1000000)</x:f>
        <x:v>0.071126</x:v>
      </x:c>
      <x:c r="L80" s="39" t="n">
        <x:f>IF(C80&lt;0,1,IF(OR(G80=0,H80=0,I80=0,F80-B80&gt;100000000),1,0))</x:f>
        <x:v>0</x:v>
      </x:c>
      <x:c r="M80" s="39" t="n">
        <x:f>IF(C80&lt;0,1,0)</x:f>
        <x:v>0</x:v>
      </x:c>
      <x:c r="N80" s="1"/>
      <x:c r="O80" s="1"/>
      <x:c r="P80" s="1"/>
      <x:c r="Q80" s="1"/>
      <x:c r="R80" s="1"/>
    </x:row>
    <x:row r="81" ht="22" customHeight="1">
      <x:c r="A81" s="39" t="n">
        <x:v>35</x:v>
      </x:c>
      <x:c r="B81" s="39" t="n">
        <x:v>3500000000</x:v>
      </x:c>
      <x:c r="C81" s="39" t="n">
        <x:v>3500055451</x:v>
      </x:c>
      <x:c r="D81" s="39" t="n">
        <x:v>3500076409</x:v>
      </x:c>
      <x:c r="E81" s="39" t="n">
        <x:v>3500096053</x:v>
      </x:c>
      <x:c r="F81" s="39" t="n">
        <x:v>3500098441</x:v>
      </x:c>
      <x:c r="G81" s="39" t="n">
        <x:v>1</x:v>
      </x:c>
      <x:c r="H81" s="39" t="n">
        <x:v>1</x:v>
      </x:c>
      <x:c r="I81" s="39" t="n">
        <x:v>1</x:v>
      </x:c>
      <x:c r="J81" s="40" t="n">
        <x:f>B81/1000000000</x:f>
        <x:v>3.5</x:v>
      </x:c>
      <x:c r="K81" s="41" t="n">
        <x:f>IF(C81&lt;0,NA(),(F81-B81)/1000000)</x:f>
        <x:v>0.098441</x:v>
      </x:c>
      <x:c r="L81" s="39" t="n">
        <x:f>IF(C81&lt;0,1,IF(OR(G81=0,H81=0,I81=0,F81-B81&gt;100000000),1,0))</x:f>
        <x:v>0</x:v>
      </x:c>
      <x:c r="M81" s="39" t="n">
        <x:f>IF(C81&lt;0,1,0)</x:f>
        <x:v>0</x:v>
      </x:c>
      <x:c r="N81" s="1"/>
      <x:c r="O81" s="1"/>
      <x:c r="P81" s="1"/>
      <x:c r="Q81" s="1"/>
      <x:c r="R81" s="1"/>
    </x:row>
    <x:row r="82" ht="22" customHeight="1">
      <x:c r="A82" s="39" t="n">
        <x:v>36</x:v>
      </x:c>
      <x:c r="B82" s="39" t="n">
        <x:v>3600000000</x:v>
      </x:c>
      <x:c r="C82" s="39" t="n">
        <x:v>3600051032</x:v>
      </x:c>
      <x:c r="D82" s="39" t="n">
        <x:v>3600074101</x:v>
      </x:c>
      <x:c r="E82" s="39" t="n">
        <x:v>3600092097</x:v>
      </x:c>
      <x:c r="F82" s="39" t="n">
        <x:v>3600094800</x:v>
      </x:c>
      <x:c r="G82" s="39" t="n">
        <x:v>1</x:v>
      </x:c>
      <x:c r="H82" s="39" t="n">
        <x:v>1</x:v>
      </x:c>
      <x:c r="I82" s="39" t="n">
        <x:v>1</x:v>
      </x:c>
      <x:c r="J82" s="40" t="n">
        <x:f>B82/1000000000</x:f>
        <x:v>3.6</x:v>
      </x:c>
      <x:c r="K82" s="41" t="n">
        <x:f>IF(C82&lt;0,NA(),(F82-B82)/1000000)</x:f>
        <x:v>0.0948</x:v>
      </x:c>
      <x:c r="L82" s="39" t="n">
        <x:f>IF(C82&lt;0,1,IF(OR(G82=0,H82=0,I82=0,F82-B82&gt;100000000),1,0))</x:f>
        <x:v>0</x:v>
      </x:c>
      <x:c r="M82" s="39" t="n">
        <x:f>IF(C82&lt;0,1,0)</x:f>
        <x:v>0</x:v>
      </x:c>
      <x:c r="N82" s="1"/>
      <x:c r="O82" s="1"/>
      <x:c r="P82" s="1"/>
      <x:c r="Q82" s="1"/>
      <x:c r="R82" s="1"/>
    </x:row>
    <x:row r="83" ht="22" customHeight="1">
      <x:c r="A83" s="39" t="n">
        <x:v>37</x:v>
      </x:c>
      <x:c r="B83" s="39" t="n">
        <x:v>3700000000</x:v>
      </x:c>
      <x:c r="C83" s="39" t="n">
        <x:v>3700033616</x:v>
      </x:c>
      <x:c r="D83" s="39" t="n">
        <x:v>3700042466</x:v>
      </x:c>
      <x:c r="E83" s="39" t="n">
        <x:v>3700051723</x:v>
      </x:c>
      <x:c r="F83" s="39" t="n">
        <x:v>3700053889</x:v>
      </x:c>
      <x:c r="G83" s="39" t="n">
        <x:v>1</x:v>
      </x:c>
      <x:c r="H83" s="39" t="n">
        <x:v>1</x:v>
      </x:c>
      <x:c r="I83" s="39" t="n">
        <x:v>1</x:v>
      </x:c>
      <x:c r="J83" s="40" t="n">
        <x:f>B83/1000000000</x:f>
        <x:v>3.7</x:v>
      </x:c>
      <x:c r="K83" s="41" t="n">
        <x:f>IF(C83&lt;0,NA(),(F83-B83)/1000000)</x:f>
        <x:v>0.053889</x:v>
      </x:c>
      <x:c r="L83" s="39" t="n">
        <x:f>IF(C83&lt;0,1,IF(OR(G83=0,H83=0,I83=0,F83-B83&gt;100000000),1,0))</x:f>
        <x:v>0</x:v>
      </x:c>
      <x:c r="M83" s="39" t="n">
        <x:f>IF(C83&lt;0,1,0)</x:f>
        <x:v>0</x:v>
      </x:c>
      <x:c r="N83" s="1"/>
      <x:c r="O83" s="1"/>
      <x:c r="P83" s="1"/>
      <x:c r="Q83" s="1"/>
      <x:c r="R83" s="1"/>
    </x:row>
    <x:row r="84" ht="22" customHeight="1">
      <x:c r="A84" s="39" t="n">
        <x:v>38</x:v>
      </x:c>
      <x:c r="B84" s="39" t="n">
        <x:v>3800000000</x:v>
      </x:c>
      <x:c r="C84" s="39" t="n">
        <x:v>3800041232</x:v>
      </x:c>
      <x:c r="D84" s="39" t="n">
        <x:v>3800052192</x:v>
      </x:c>
      <x:c r="E84" s="39" t="n">
        <x:v>3800063689</x:v>
      </x:c>
      <x:c r="F84" s="39" t="n">
        <x:v>3800066115</x:v>
      </x:c>
      <x:c r="G84" s="39" t="n">
        <x:v>1</x:v>
      </x:c>
      <x:c r="H84" s="39" t="n">
        <x:v>1</x:v>
      </x:c>
      <x:c r="I84" s="39" t="n">
        <x:v>1</x:v>
      </x:c>
      <x:c r="J84" s="40" t="n">
        <x:f>B84/1000000000</x:f>
        <x:v>3.8</x:v>
      </x:c>
      <x:c r="K84" s="41" t="n">
        <x:f>IF(C84&lt;0,NA(),(F84-B84)/1000000)</x:f>
        <x:v>0.066115</x:v>
      </x:c>
      <x:c r="L84" s="39" t="n">
        <x:f>IF(C84&lt;0,1,IF(OR(G84=0,H84=0,I84=0,F84-B84&gt;100000000),1,0))</x:f>
        <x:v>0</x:v>
      </x:c>
      <x:c r="M84" s="39" t="n">
        <x:f>IF(C84&lt;0,1,0)</x:f>
        <x:v>0</x:v>
      </x:c>
      <x:c r="N84" s="1"/>
      <x:c r="O84" s="1"/>
      <x:c r="P84" s="1"/>
      <x:c r="Q84" s="1"/>
      <x:c r="R84" s="1"/>
    </x:row>
    <x:row r="85" ht="22" customHeight="1">
      <x:c r="A85" s="39" t="n">
        <x:v>39</x:v>
      </x:c>
      <x:c r="B85" s="39" t="n">
        <x:v>3900000000</x:v>
      </x:c>
      <x:c r="C85" s="39" t="n">
        <x:v>3900053508</x:v>
      </x:c>
      <x:c r="D85" s="39" t="n">
        <x:v>3900061803</x:v>
      </x:c>
      <x:c r="E85" s="39" t="n">
        <x:v>3900071487</x:v>
      </x:c>
      <x:c r="F85" s="39" t="n">
        <x:v>3900074005</x:v>
      </x:c>
      <x:c r="G85" s="39" t="n">
        <x:v>1</x:v>
      </x:c>
      <x:c r="H85" s="39" t="n">
        <x:v>1</x:v>
      </x:c>
      <x:c r="I85" s="39" t="n">
        <x:v>1</x:v>
      </x:c>
      <x:c r="J85" s="40" t="n">
        <x:f>B85/1000000000</x:f>
        <x:v>3.9</x:v>
      </x:c>
      <x:c r="K85" s="41" t="n">
        <x:f>IF(C85&lt;0,NA(),(F85-B85)/1000000)</x:f>
        <x:v>0.074005</x:v>
      </x:c>
      <x:c r="L85" s="39" t="n">
        <x:f>IF(C85&lt;0,1,IF(OR(G85=0,H85=0,I85=0,F85-B85&gt;100000000),1,0))</x:f>
        <x:v>0</x:v>
      </x:c>
      <x:c r="M85" s="39" t="n">
        <x:f>IF(C85&lt;0,1,0)</x:f>
        <x:v>0</x:v>
      </x:c>
      <x:c r="N85" s="1"/>
      <x:c r="O85" s="1"/>
      <x:c r="P85" s="1"/>
      <x:c r="Q85" s="1"/>
      <x:c r="R85" s="1"/>
    </x:row>
    <x:row r="86" ht="22" customHeight="1">
      <x:c r="A86" s="39" t="n">
        <x:v>40</x:v>
      </x:c>
      <x:c r="B86" s="39" t="n">
        <x:v>4000000000</x:v>
      </x:c>
      <x:c r="C86" s="39" t="n">
        <x:v>4000047137</x:v>
      </x:c>
      <x:c r="D86" s="39" t="n">
        <x:v>4000055377</x:v>
      </x:c>
      <x:c r="E86" s="39" t="n">
        <x:v>4000065191</x:v>
      </x:c>
      <x:c r="F86" s="39" t="n">
        <x:v>4000067579</x:v>
      </x:c>
      <x:c r="G86" s="39" t="n">
        <x:v>1</x:v>
      </x:c>
      <x:c r="H86" s="39" t="n">
        <x:v>1</x:v>
      </x:c>
      <x:c r="I86" s="39" t="n">
        <x:v>1</x:v>
      </x:c>
      <x:c r="J86" s="40" t="n">
        <x:f>B86/1000000000</x:f>
        <x:v>4</x:v>
      </x:c>
      <x:c r="K86" s="41" t="n">
        <x:f>IF(C86&lt;0,NA(),(F86-B86)/1000000)</x:f>
        <x:v>0.067579</x:v>
      </x:c>
      <x:c r="L86" s="39" t="n">
        <x:f>IF(C86&lt;0,1,IF(OR(G86=0,H86=0,I86=0,F86-B86&gt;100000000),1,0))</x:f>
        <x:v>0</x:v>
      </x:c>
      <x:c r="M86" s="39" t="n">
        <x:f>IF(C86&lt;0,1,0)</x:f>
        <x:v>0</x:v>
      </x:c>
      <x:c r="N86" s="1"/>
      <x:c r="O86" s="1"/>
      <x:c r="P86" s="1"/>
      <x:c r="Q86" s="1"/>
      <x:c r="R86" s="1"/>
    </x:row>
    <x:row r="87" ht="22" customHeight="1">
      <x:c r="A87" s="39" t="n">
        <x:v>41</x:v>
      </x:c>
      <x:c r="B87" s="39" t="n">
        <x:v>4100000000</x:v>
      </x:c>
      <x:c r="C87" s="39" t="n">
        <x:v>4100044396</x:v>
      </x:c>
      <x:c r="D87" s="39" t="n">
        <x:v>4100051376</x:v>
      </x:c>
      <x:c r="E87" s="39" t="n">
        <x:v>4100059616</x:v>
      </x:c>
      <x:c r="F87" s="39" t="n">
        <x:v>4100061986</x:v>
      </x:c>
      <x:c r="G87" s="39" t="n">
        <x:v>1</x:v>
      </x:c>
      <x:c r="H87" s="39" t="n">
        <x:v>1</x:v>
      </x:c>
      <x:c r="I87" s="39" t="n">
        <x:v>1</x:v>
      </x:c>
      <x:c r="J87" s="40" t="n">
        <x:f>B87/1000000000</x:f>
        <x:v>4.1</x:v>
      </x:c>
      <x:c r="K87" s="41" t="n">
        <x:f>IF(C87&lt;0,NA(),(F87-B87)/1000000)</x:f>
        <x:v>0.061986</x:v>
      </x:c>
      <x:c r="L87" s="39" t="n">
        <x:f>IF(C87&lt;0,1,IF(OR(G87=0,H87=0,I87=0,F87-B87&gt;100000000),1,0))</x:f>
        <x:v>0</x:v>
      </x:c>
      <x:c r="M87" s="39" t="n">
        <x:f>IF(C87&lt;0,1,0)</x:f>
        <x:v>0</x:v>
      </x:c>
      <x:c r="N87" s="1"/>
      <x:c r="O87" s="1"/>
      <x:c r="P87" s="1"/>
      <x:c r="Q87" s="1"/>
      <x:c r="R87" s="1"/>
    </x:row>
    <x:row r="88" ht="22" customHeight="1">
      <x:c r="A88" s="39" t="n">
        <x:v>42</x:v>
      </x:c>
      <x:c r="B88" s="39" t="n">
        <x:v>4200000000</x:v>
      </x:c>
      <x:c r="C88" s="39" t="n">
        <x:v>4200056893</x:v>
      </x:c>
      <x:c r="D88" s="39" t="n">
        <x:v>4200080428</x:v>
      </x:c>
      <x:c r="E88" s="39" t="n">
        <x:v>4200101537</x:v>
      </x:c>
      <x:c r="F88" s="39" t="n">
        <x:v>4200104999</x:v>
      </x:c>
      <x:c r="G88" s="39" t="n">
        <x:v>1</x:v>
      </x:c>
      <x:c r="H88" s="39" t="n">
        <x:v>1</x:v>
      </x:c>
      <x:c r="I88" s="39" t="n">
        <x:v>1</x:v>
      </x:c>
      <x:c r="J88" s="40" t="n">
        <x:f>B88/1000000000</x:f>
        <x:v>4.2</x:v>
      </x:c>
      <x:c r="K88" s="41" t="n">
        <x:f>IF(C88&lt;0,NA(),(F88-B88)/1000000)</x:f>
        <x:v>0.104999</x:v>
      </x:c>
      <x:c r="L88" s="39" t="n">
        <x:f>IF(C88&lt;0,1,IF(OR(G88=0,H88=0,I88=0,F88-B88&gt;100000000),1,0))</x:f>
        <x:v>0</x:v>
      </x:c>
      <x:c r="M88" s="39" t="n">
        <x:f>IF(C88&lt;0,1,0)</x:f>
        <x:v>0</x:v>
      </x:c>
      <x:c r="N88" s="1"/>
      <x:c r="O88" s="1"/>
      <x:c r="P88" s="1"/>
      <x:c r="Q88" s="1"/>
      <x:c r="R88" s="1"/>
    </x:row>
    <x:row r="89" ht="22" customHeight="1">
      <x:c r="A89" s="39" t="n">
        <x:v>43</x:v>
      </x:c>
      <x:c r="B89" s="39" t="n">
        <x:v>4300000000</x:v>
      </x:c>
      <x:c r="C89" s="39" t="n">
        <x:v>4300046134</x:v>
      </x:c>
      <x:c r="D89" s="39" t="n">
        <x:v>4300055522</x:v>
      </x:c>
      <x:c r="E89" s="39" t="n">
        <x:v>4300064466</x:v>
      </x:c>
      <x:c r="F89" s="39" t="n">
        <x:v>4300067114</x:v>
      </x:c>
      <x:c r="G89" s="39" t="n">
        <x:v>1</x:v>
      </x:c>
      <x:c r="H89" s="39" t="n">
        <x:v>1</x:v>
      </x:c>
      <x:c r="I89" s="39" t="n">
        <x:v>1</x:v>
      </x:c>
      <x:c r="J89" s="40" t="n">
        <x:f>B89/1000000000</x:f>
        <x:v>4.3</x:v>
      </x:c>
      <x:c r="K89" s="41" t="n">
        <x:f>IF(C89&lt;0,NA(),(F89-B89)/1000000)</x:f>
        <x:v>0.067114</x:v>
      </x:c>
      <x:c r="L89" s="39" t="n">
        <x:f>IF(C89&lt;0,1,IF(OR(G89=0,H89=0,I89=0,F89-B89&gt;100000000),1,0))</x:f>
        <x:v>0</x:v>
      </x:c>
      <x:c r="M89" s="39" t="n">
        <x:f>IF(C89&lt;0,1,0)</x:f>
        <x:v>0</x:v>
      </x:c>
      <x:c r="N89" s="1"/>
      <x:c r="O89" s="1"/>
      <x:c r="P89" s="1"/>
      <x:c r="Q89" s="1"/>
      <x:c r="R89" s="1"/>
    </x:row>
    <x:row r="90" ht="22" customHeight="1">
      <x:c r="A90" s="39" t="n">
        <x:v>44</x:v>
      </x:c>
      <x:c r="B90" s="39" t="n">
        <x:v>4400000000</x:v>
      </x:c>
      <x:c r="C90" s="39" t="n">
        <x:v>4400044300</x:v>
      </x:c>
      <x:c r="D90" s="39" t="n">
        <x:v>4400050781</x:v>
      </x:c>
      <x:c r="E90" s="39" t="n">
        <x:v>4400058225</x:v>
      </x:c>
      <x:c r="F90" s="39" t="n">
        <x:v>4400060836</x:v>
      </x:c>
      <x:c r="G90" s="39" t="n">
        <x:v>1</x:v>
      </x:c>
      <x:c r="H90" s="39" t="n">
        <x:v>1</x:v>
      </x:c>
      <x:c r="I90" s="39" t="n">
        <x:v>1</x:v>
      </x:c>
      <x:c r="J90" s="40" t="n">
        <x:f>B90/1000000000</x:f>
        <x:v>4.4</x:v>
      </x:c>
      <x:c r="K90" s="41" t="n">
        <x:f>IF(C90&lt;0,NA(),(F90-B90)/1000000)</x:f>
        <x:v>0.060836</x:v>
      </x:c>
      <x:c r="L90" s="39" t="n">
        <x:f>IF(C90&lt;0,1,IF(OR(G90=0,H90=0,I90=0,F90-B90&gt;100000000),1,0))</x:f>
        <x:v>0</x:v>
      </x:c>
      <x:c r="M90" s="39" t="n">
        <x:f>IF(C90&lt;0,1,0)</x:f>
        <x:v>0</x:v>
      </x:c>
      <x:c r="N90" s="1"/>
      <x:c r="O90" s="1"/>
      <x:c r="P90" s="1"/>
      <x:c r="Q90" s="1"/>
      <x:c r="R90" s="1"/>
    </x:row>
    <x:row r="91" ht="22" customHeight="1">
      <x:c r="A91" s="39" t="n">
        <x:v>45</x:v>
      </x:c>
      <x:c r="B91" s="39" t="n">
        <x:v>4500000000</x:v>
      </x:c>
      <x:c r="C91" s="39" t="n">
        <x:v>4500055872</x:v>
      </x:c>
      <x:c r="D91" s="39" t="n">
        <x:v>4500073555</x:v>
      </x:c>
      <x:c r="E91" s="39" t="n">
        <x:v>4500094090</x:v>
      </x:c>
      <x:c r="F91" s="39" t="n">
        <x:v>4500097183</x:v>
      </x:c>
      <x:c r="G91" s="39" t="n">
        <x:v>1</x:v>
      </x:c>
      <x:c r="H91" s="39" t="n">
        <x:v>1</x:v>
      </x:c>
      <x:c r="I91" s="39" t="n">
        <x:v>1</x:v>
      </x:c>
      <x:c r="J91" s="40" t="n">
        <x:f>B91/1000000000</x:f>
        <x:v>4.5</x:v>
      </x:c>
      <x:c r="K91" s="41" t="n">
        <x:f>IF(C91&lt;0,NA(),(F91-B91)/1000000)</x:f>
        <x:v>0.097183</x:v>
      </x:c>
      <x:c r="L91" s="39" t="n">
        <x:f>IF(C91&lt;0,1,IF(OR(G91=0,H91=0,I91=0,F91-B91&gt;100000000),1,0))</x:f>
        <x:v>0</x:v>
      </x:c>
      <x:c r="M91" s="39" t="n">
        <x:f>IF(C91&lt;0,1,0)</x:f>
        <x:v>0</x:v>
      </x:c>
      <x:c r="N91" s="1"/>
      <x:c r="O91" s="1"/>
      <x:c r="P91" s="1"/>
      <x:c r="Q91" s="1"/>
      <x:c r="R91" s="1"/>
    </x:row>
    <x:row r="92" ht="22" customHeight="1">
      <x:c r="A92" s="39" t="n">
        <x:v>46</x:v>
      </x:c>
      <x:c r="B92" s="39" t="n">
        <x:v>4600000000</x:v>
      </x:c>
      <x:c r="C92" s="39" t="n">
        <x:v>4600054742</x:v>
      </x:c>
      <x:c r="D92" s="39" t="n">
        <x:v>4600072055</x:v>
      </x:c>
      <x:c r="E92" s="39" t="n">
        <x:v>4600088146</x:v>
      </x:c>
      <x:c r="F92" s="39" t="n">
        <x:v>4600091386</x:v>
      </x:c>
      <x:c r="G92" s="39" t="n">
        <x:v>1</x:v>
      </x:c>
      <x:c r="H92" s="39" t="n">
        <x:v>1</x:v>
      </x:c>
      <x:c r="I92" s="39" t="n">
        <x:v>1</x:v>
      </x:c>
      <x:c r="J92" s="40" t="n">
        <x:f>B92/1000000000</x:f>
        <x:v>4.6</x:v>
      </x:c>
      <x:c r="K92" s="41" t="n">
        <x:f>IF(C92&lt;0,NA(),(F92-B92)/1000000)</x:f>
        <x:v>0.091386</x:v>
      </x:c>
      <x:c r="L92" s="39" t="n">
        <x:f>IF(C92&lt;0,1,IF(OR(G92=0,H92=0,I92=0,F92-B92&gt;100000000),1,0))</x:f>
        <x:v>0</x:v>
      </x:c>
      <x:c r="M92" s="39" t="n">
        <x:f>IF(C92&lt;0,1,0)</x:f>
        <x:v>0</x:v>
      </x:c>
      <x:c r="N92" s="1"/>
      <x:c r="O92" s="1"/>
      <x:c r="P92" s="1"/>
      <x:c r="Q92" s="1"/>
      <x:c r="R92" s="1"/>
    </x:row>
    <x:row r="93" ht="22" customHeight="1">
      <x:c r="A93" s="39" t="n">
        <x:v>47</x:v>
      </x:c>
      <x:c r="B93" s="39" t="n">
        <x:v>4700000000</x:v>
      </x:c>
      <x:c r="C93" s="39" t="n">
        <x:v>4700050426</x:v>
      </x:c>
      <x:c r="D93" s="39" t="n">
        <x:v>4700062795</x:v>
      </x:c>
      <x:c r="E93" s="39" t="n">
        <x:v>4700074257</x:v>
      </x:c>
      <x:c r="F93" s="39" t="n">
        <x:v>4700077294</x:v>
      </x:c>
      <x:c r="G93" s="39" t="n">
        <x:v>1</x:v>
      </x:c>
      <x:c r="H93" s="39" t="n">
        <x:v>1</x:v>
      </x:c>
      <x:c r="I93" s="39" t="n">
        <x:v>1</x:v>
      </x:c>
      <x:c r="J93" s="40" t="n">
        <x:f>B93/1000000000</x:f>
        <x:v>4.7</x:v>
      </x:c>
      <x:c r="K93" s="41" t="n">
        <x:f>IF(C93&lt;0,NA(),(F93-B93)/1000000)</x:f>
        <x:v>0.077294</x:v>
      </x:c>
      <x:c r="L93" s="39" t="n">
        <x:f>IF(C93&lt;0,1,IF(OR(G93=0,H93=0,I93=0,F93-B93&gt;100000000),1,0))</x:f>
        <x:v>0</x:v>
      </x:c>
      <x:c r="M93" s="39" t="n">
        <x:f>IF(C93&lt;0,1,0)</x:f>
        <x:v>0</x:v>
      </x:c>
      <x:c r="N93" s="1"/>
      <x:c r="O93" s="1"/>
      <x:c r="P93" s="1"/>
      <x:c r="Q93" s="1"/>
      <x:c r="R93" s="1"/>
    </x:row>
    <x:row r="94" ht="22" customHeight="1">
      <x:c r="A94" s="39" t="n">
        <x:v>48</x:v>
      </x:c>
      <x:c r="B94" s="39" t="n">
        <x:v>4800000000</x:v>
      </x:c>
      <x:c r="C94" s="39" t="n">
        <x:v>4800055332</x:v>
      </x:c>
      <x:c r="D94" s="39" t="n">
        <x:v>4800077256</x:v>
      </x:c>
      <x:c r="E94" s="39" t="n">
        <x:v>4800095013</x:v>
      </x:c>
      <x:c r="F94" s="39" t="n">
        <x:v>4800099013</x:v>
      </x:c>
      <x:c r="G94" s="39" t="n">
        <x:v>1</x:v>
      </x:c>
      <x:c r="H94" s="39" t="n">
        <x:v>1</x:v>
      </x:c>
      <x:c r="I94" s="39" t="n">
        <x:v>1</x:v>
      </x:c>
      <x:c r="J94" s="40" t="n">
        <x:f>B94/1000000000</x:f>
        <x:v>4.8</x:v>
      </x:c>
      <x:c r="K94" s="41" t="n">
        <x:f>IF(C94&lt;0,NA(),(F94-B94)/1000000)</x:f>
        <x:v>0.099013</x:v>
      </x:c>
      <x:c r="L94" s="39" t="n">
        <x:f>IF(C94&lt;0,1,IF(OR(G94=0,H94=0,I94=0,F94-B94&gt;100000000),1,0))</x:f>
        <x:v>0</x:v>
      </x:c>
      <x:c r="M94" s="39" t="n">
        <x:f>IF(C94&lt;0,1,0)</x:f>
        <x:v>0</x:v>
      </x:c>
      <x:c r="N94" s="1"/>
      <x:c r="O94" s="1"/>
      <x:c r="P94" s="1"/>
      <x:c r="Q94" s="1"/>
      <x:c r="R94" s="1"/>
    </x:row>
    <x:row r="95" ht="22" customHeight="1">
      <x:c r="A95" s="39" t="n">
        <x:v>49</x:v>
      </x:c>
      <x:c r="B95" s="39" t="n">
        <x:v>4900000000</x:v>
      </x:c>
      <x:c r="C95" s="39" t="n">
        <x:v>4900050764</x:v>
      </x:c>
      <x:c r="D95" s="39" t="n">
        <x:v>4900063818</x:v>
      </x:c>
      <x:c r="E95" s="39" t="n">
        <x:v>4900078817</x:v>
      </x:c>
      <x:c r="F95" s="39" t="n">
        <x:v>4900082094</x:v>
      </x:c>
      <x:c r="G95" s="39" t="n">
        <x:v>1</x:v>
      </x:c>
      <x:c r="H95" s="39" t="n">
        <x:v>1</x:v>
      </x:c>
      <x:c r="I95" s="39" t="n">
        <x:v>1</x:v>
      </x:c>
      <x:c r="J95" s="40" t="n">
        <x:f>B95/1000000000</x:f>
        <x:v>4.9</x:v>
      </x:c>
      <x:c r="K95" s="41" t="n">
        <x:f>IF(C95&lt;0,NA(),(F95-B95)/1000000)</x:f>
        <x:v>0.082094</x:v>
      </x:c>
      <x:c r="L95" s="39" t="n">
        <x:f>IF(C95&lt;0,1,IF(OR(G95=0,H95=0,I95=0,F95-B95&gt;100000000),1,0))</x:f>
        <x:v>0</x:v>
      </x:c>
      <x:c r="M95" s="39" t="n">
        <x:f>IF(C95&lt;0,1,0)</x:f>
        <x:v>0</x:v>
      </x:c>
      <x:c r="N95" s="1"/>
      <x:c r="O95" s="1"/>
      <x:c r="P95" s="1"/>
      <x:c r="Q95" s="1"/>
      <x:c r="R95" s="1"/>
    </x:row>
    <x:row r="96" ht="22" customHeight="1">
      <x:c r="A96" s="39" t="n">
        <x:v>50</x:v>
      </x:c>
      <x:c r="B96" s="39" t="n">
        <x:v>5000000000</x:v>
      </x:c>
      <x:c r="C96" s="39" t="n">
        <x:v>5000050468</x:v>
      </x:c>
      <x:c r="D96" s="39" t="n">
        <x:v>5000060522</x:v>
      </x:c>
      <x:c r="E96" s="39" t="n">
        <x:v>5000074503</x:v>
      </x:c>
      <x:c r="F96" s="39" t="n">
        <x:v>5000078058</x:v>
      </x:c>
      <x:c r="G96" s="39" t="n">
        <x:v>1</x:v>
      </x:c>
      <x:c r="H96" s="39" t="n">
        <x:v>1</x:v>
      </x:c>
      <x:c r="I96" s="39" t="n">
        <x:v>1</x:v>
      </x:c>
      <x:c r="J96" s="40" t="n">
        <x:f>B96/1000000000</x:f>
        <x:v>5</x:v>
      </x:c>
      <x:c r="K96" s="41" t="n">
        <x:f>IF(C96&lt;0,NA(),(F96-B96)/1000000)</x:f>
        <x:v>0.078058</x:v>
      </x:c>
      <x:c r="L96" s="39" t="n">
        <x:f>IF(C96&lt;0,1,IF(OR(G96=0,H96=0,I96=0,F96-B96&gt;100000000),1,0))</x:f>
        <x:v>0</x:v>
      </x:c>
      <x:c r="M96" s="39" t="n">
        <x:f>IF(C96&lt;0,1,0)</x:f>
        <x:v>0</x:v>
      </x:c>
      <x:c r="N96" s="1"/>
      <x:c r="O96" s="1"/>
      <x:c r="P96" s="1"/>
      <x:c r="Q96" s="1"/>
      <x:c r="R96" s="1"/>
    </x:row>
    <x:row r="97" ht="22" customHeight="1">
      <x:c r="A97" s="39" t="n">
        <x:v>51</x:v>
      </x:c>
      <x:c r="B97" s="39" t="n">
        <x:v>5100000000</x:v>
      </x:c>
      <x:c r="C97" s="39" t="n">
        <x:v>5100051635</x:v>
      </x:c>
      <x:c r="D97" s="39" t="n">
        <x:v>5100063967</x:v>
      </x:c>
      <x:c r="E97" s="39" t="n">
        <x:v>5100076577</x:v>
      </x:c>
      <x:c r="F97" s="39" t="n">
        <x:v>5100079965</x:v>
      </x:c>
      <x:c r="G97" s="39" t="n">
        <x:v>1</x:v>
      </x:c>
      <x:c r="H97" s="39" t="n">
        <x:v>1</x:v>
      </x:c>
      <x:c r="I97" s="39" t="n">
        <x:v>1</x:v>
      </x:c>
      <x:c r="J97" s="40" t="n">
        <x:f>B97/1000000000</x:f>
        <x:v>5.1</x:v>
      </x:c>
      <x:c r="K97" s="41" t="n">
        <x:f>IF(C97&lt;0,NA(),(F97-B97)/1000000)</x:f>
        <x:v>0.079965</x:v>
      </x:c>
      <x:c r="L97" s="39" t="n">
        <x:f>IF(C97&lt;0,1,IF(OR(G97=0,H97=0,I97=0,F97-B97&gt;100000000),1,0))</x:f>
        <x:v>0</x:v>
      </x:c>
      <x:c r="M97" s="39" t="n">
        <x:f>IF(C97&lt;0,1,0)</x:f>
        <x:v>0</x:v>
      </x:c>
      <x:c r="N97" s="1"/>
      <x:c r="O97" s="1"/>
      <x:c r="P97" s="1"/>
      <x:c r="Q97" s="1"/>
      <x:c r="R97" s="1"/>
    </x:row>
    <x:row r="98" ht="22" customHeight="1">
      <x:c r="A98" s="39" t="n">
        <x:v>52</x:v>
      </x:c>
      <x:c r="B98" s="39" t="n">
        <x:v>5200000000</x:v>
      </x:c>
      <x:c r="C98" s="39" t="n">
        <x:v>5200045598</x:v>
      </x:c>
      <x:c r="D98" s="39" t="n">
        <x:v>5200052672</x:v>
      </x:c>
      <x:c r="E98" s="39" t="n">
        <x:v>5200060541</x:v>
      </x:c>
      <x:c r="F98" s="39" t="n">
        <x:v>5200063856</x:v>
      </x:c>
      <x:c r="G98" s="39" t="n">
        <x:v>1</x:v>
      </x:c>
      <x:c r="H98" s="39" t="n">
        <x:v>1</x:v>
      </x:c>
      <x:c r="I98" s="39" t="n">
        <x:v>1</x:v>
      </x:c>
      <x:c r="J98" s="40" t="n">
        <x:f>B98/1000000000</x:f>
        <x:v>5.2</x:v>
      </x:c>
      <x:c r="K98" s="41" t="n">
        <x:f>IF(C98&lt;0,NA(),(F98-B98)/1000000)</x:f>
        <x:v>0.063856</x:v>
      </x:c>
      <x:c r="L98" s="39" t="n">
        <x:f>IF(C98&lt;0,1,IF(OR(G98=0,H98=0,I98=0,F98-B98&gt;100000000),1,0))</x:f>
        <x:v>0</x:v>
      </x:c>
      <x:c r="M98" s="39" t="n">
        <x:f>IF(C98&lt;0,1,0)</x:f>
        <x:v>0</x:v>
      </x:c>
      <x:c r="N98" s="1"/>
      <x:c r="O98" s="1"/>
      <x:c r="P98" s="1"/>
      <x:c r="Q98" s="1"/>
      <x:c r="R98" s="1"/>
    </x:row>
    <x:row r="99" ht="22" customHeight="1">
      <x:c r="A99" s="39" t="n">
        <x:v>53</x:v>
      </x:c>
      <x:c r="B99" s="39" t="n">
        <x:v>5300000000</x:v>
      </x:c>
      <x:c r="C99" s="39" t="n">
        <x:v>5300051043</x:v>
      </x:c>
      <x:c r="D99" s="39" t="n">
        <x:v>5300062578</x:v>
      </x:c>
      <x:c r="E99" s="39" t="n">
        <x:v>5300074207</x:v>
      </x:c>
      <x:c r="F99" s="39" t="n">
        <x:v>5300077799</x:v>
      </x:c>
      <x:c r="G99" s="39" t="n">
        <x:v>1</x:v>
      </x:c>
      <x:c r="H99" s="39" t="n">
        <x:v>1</x:v>
      </x:c>
      <x:c r="I99" s="39" t="n">
        <x:v>1</x:v>
      </x:c>
      <x:c r="J99" s="40" t="n">
        <x:f>B99/1000000000</x:f>
        <x:v>5.3</x:v>
      </x:c>
      <x:c r="K99" s="41" t="n">
        <x:f>IF(C99&lt;0,NA(),(F99-B99)/1000000)</x:f>
        <x:v>0.077799</x:v>
      </x:c>
      <x:c r="L99" s="39" t="n">
        <x:f>IF(C99&lt;0,1,IF(OR(G99=0,H99=0,I99=0,F99-B99&gt;100000000),1,0))</x:f>
        <x:v>0</x:v>
      </x:c>
      <x:c r="M99" s="39" t="n">
        <x:f>IF(C99&lt;0,1,0)</x:f>
        <x:v>0</x:v>
      </x:c>
      <x:c r="N99" s="1"/>
      <x:c r="O99" s="1"/>
      <x:c r="P99" s="1"/>
      <x:c r="Q99" s="1"/>
      <x:c r="R99" s="1"/>
    </x:row>
    <x:row r="100" ht="22" customHeight="1">
      <x:c r="A100" s="39" t="n">
        <x:v>54</x:v>
      </x:c>
      <x:c r="B100" s="39" t="n">
        <x:v>5400000000</x:v>
      </x:c>
      <x:c r="C100" s="39" t="n">
        <x:v>5400055672</x:v>
      </x:c>
      <x:c r="D100" s="39" t="n">
        <x:v>5400081540</x:v>
      </x:c>
      <x:c r="E100" s="39" t="n">
        <x:v>5400102871</x:v>
      </x:c>
      <x:c r="F100" s="39" t="n">
        <x:v>5400107019</x:v>
      </x:c>
      <x:c r="G100" s="39" t="n">
        <x:v>1</x:v>
      </x:c>
      <x:c r="H100" s="39" t="n">
        <x:v>1</x:v>
      </x:c>
      <x:c r="I100" s="39" t="n">
        <x:v>1</x:v>
      </x:c>
      <x:c r="J100" s="40" t="n">
        <x:f>B100/1000000000</x:f>
        <x:v>5.4</x:v>
      </x:c>
      <x:c r="K100" s="41" t="n">
        <x:f>IF(C100&lt;0,NA(),(F100-B100)/1000000)</x:f>
        <x:v>0.107019</x:v>
      </x:c>
      <x:c r="L100" s="39" t="n">
        <x:f>IF(C100&lt;0,1,IF(OR(G100=0,H100=0,I100=0,F100-B100&gt;100000000),1,0))</x:f>
        <x:v>0</x:v>
      </x:c>
      <x:c r="M100" s="39" t="n">
        <x:f>IF(C100&lt;0,1,0)</x:f>
        <x:v>0</x:v>
      </x:c>
      <x:c r="N100" s="1"/>
      <x:c r="O100" s="1"/>
      <x:c r="P100" s="1"/>
      <x:c r="Q100" s="1"/>
      <x:c r="R100" s="1"/>
    </x:row>
    <x:row r="101" ht="22" customHeight="1">
      <x:c r="A101" s="39" t="n">
        <x:v>55</x:v>
      </x:c>
      <x:c r="B101" s="39" t="n">
        <x:v>5500000000</x:v>
      </x:c>
      <x:c r="C101" s="39" t="n">
        <x:v>5500050950</x:v>
      </x:c>
      <x:c r="D101" s="39" t="n">
        <x:v>5500063542</x:v>
      </x:c>
      <x:c r="E101" s="39" t="n">
        <x:v>5500076781</x:v>
      </x:c>
      <x:c r="F101" s="39" t="n">
        <x:v>5500080466</x:v>
      </x:c>
      <x:c r="G101" s="39" t="n">
        <x:v>1</x:v>
      </x:c>
      <x:c r="H101" s="39" t="n">
        <x:v>1</x:v>
      </x:c>
      <x:c r="I101" s="39" t="n">
        <x:v>1</x:v>
      </x:c>
      <x:c r="J101" s="40" t="n">
        <x:f>B101/1000000000</x:f>
        <x:v>5.5</x:v>
      </x:c>
      <x:c r="K101" s="41" t="n">
        <x:f>IF(C101&lt;0,NA(),(F101-B101)/1000000)</x:f>
        <x:v>0.080466</x:v>
      </x:c>
      <x:c r="L101" s="39" t="n">
        <x:f>IF(C101&lt;0,1,IF(OR(G101=0,H101=0,I101=0,F101-B101&gt;100000000),1,0))</x:f>
        <x:v>0</x:v>
      </x:c>
      <x:c r="M101" s="39" t="n">
        <x:f>IF(C101&lt;0,1,0)</x:f>
        <x:v>0</x:v>
      </x:c>
      <x:c r="N101" s="1"/>
      <x:c r="O101" s="1"/>
      <x:c r="P101" s="1"/>
      <x:c r="Q101" s="1"/>
      <x:c r="R101" s="1"/>
    </x:row>
    <x:row r="102" ht="22" customHeight="1">
      <x:c r="A102" s="39" t="n">
        <x:v>56</x:v>
      </x:c>
      <x:c r="B102" s="39" t="n">
        <x:v>5600000000</x:v>
      </x:c>
      <x:c r="C102" s="39" t="n">
        <x:v>5600052395</x:v>
      </x:c>
      <x:c r="D102" s="39" t="n">
        <x:v>5600063468</x:v>
      </x:c>
      <x:c r="E102" s="39" t="n">
        <x:v>5600075337</x:v>
      </x:c>
      <x:c r="F102" s="39" t="n">
        <x:v>5600079189</x:v>
      </x:c>
      <x:c r="G102" s="39" t="n">
        <x:v>1</x:v>
      </x:c>
      <x:c r="H102" s="39" t="n">
        <x:v>1</x:v>
      </x:c>
      <x:c r="I102" s="39" t="n">
        <x:v>1</x:v>
      </x:c>
      <x:c r="J102" s="40" t="n">
        <x:f>B102/1000000000</x:f>
        <x:v>5.6</x:v>
      </x:c>
      <x:c r="K102" s="41" t="n">
        <x:f>IF(C102&lt;0,NA(),(F102-B102)/1000000)</x:f>
        <x:v>0.079189</x:v>
      </x:c>
      <x:c r="L102" s="39" t="n">
        <x:f>IF(C102&lt;0,1,IF(OR(G102=0,H102=0,I102=0,F102-B102&gt;100000000),1,0))</x:f>
        <x:v>0</x:v>
      </x:c>
      <x:c r="M102" s="39" t="n">
        <x:f>IF(C102&lt;0,1,0)</x:f>
        <x:v>0</x:v>
      </x:c>
      <x:c r="N102" s="1"/>
      <x:c r="O102" s="1"/>
      <x:c r="P102" s="1"/>
      <x:c r="Q102" s="1"/>
      <x:c r="R102" s="1"/>
    </x:row>
    <x:row r="103" ht="22" customHeight="1">
      <x:c r="A103" s="39" t="n">
        <x:v>57</x:v>
      </x:c>
      <x:c r="B103" s="39" t="n">
        <x:v>5700000000</x:v>
      </x:c>
      <x:c r="C103" s="39" t="n">
        <x:v>5700050599</x:v>
      </x:c>
      <x:c r="D103" s="39" t="n">
        <x:v>5700063672</x:v>
      </x:c>
      <x:c r="E103" s="39" t="n">
        <x:v>5700076134</x:v>
      </x:c>
      <x:c r="F103" s="39" t="n">
        <x:v>5700079892</x:v>
      </x:c>
      <x:c r="G103" s="39" t="n">
        <x:v>1</x:v>
      </x:c>
      <x:c r="H103" s="39" t="n">
        <x:v>1</x:v>
      </x:c>
      <x:c r="I103" s="39" t="n">
        <x:v>1</x:v>
      </x:c>
      <x:c r="J103" s="40" t="n">
        <x:f>B103/1000000000</x:f>
        <x:v>5.7</x:v>
      </x:c>
      <x:c r="K103" s="41" t="n">
        <x:f>IF(C103&lt;0,NA(),(F103-B103)/1000000)</x:f>
        <x:v>0.079892</x:v>
      </x:c>
      <x:c r="L103" s="39" t="n">
        <x:f>IF(C103&lt;0,1,IF(OR(G103=0,H103=0,I103=0,F103-B103&gt;100000000),1,0))</x:f>
        <x:v>0</x:v>
      </x:c>
      <x:c r="M103" s="39" t="n">
        <x:f>IF(C103&lt;0,1,0)</x:f>
        <x:v>0</x:v>
      </x:c>
      <x:c r="N103" s="1"/>
      <x:c r="O103" s="1"/>
      <x:c r="P103" s="1"/>
      <x:c r="Q103" s="1"/>
      <x:c r="R103" s="1"/>
    </x:row>
    <x:row r="104" ht="22" customHeight="1">
      <x:c r="A104" s="39" t="n">
        <x:v>58</x:v>
      </x:c>
      <x:c r="B104" s="39" t="n">
        <x:v>5800000000</x:v>
      </x:c>
      <x:c r="C104" s="39" t="n">
        <x:v>5800045489</x:v>
      </x:c>
      <x:c r="D104" s="39" t="n">
        <x:v>5800052747</x:v>
      </x:c>
      <x:c r="E104" s="39" t="n">
        <x:v>5800061339</x:v>
      </x:c>
      <x:c r="F104" s="39" t="n">
        <x:v>5800065190</x:v>
      </x:c>
      <x:c r="G104" s="39" t="n">
        <x:v>1</x:v>
      </x:c>
      <x:c r="H104" s="39" t="n">
        <x:v>1</x:v>
      </x:c>
      <x:c r="I104" s="39" t="n">
        <x:v>1</x:v>
      </x:c>
      <x:c r="J104" s="40" t="n">
        <x:f>B104/1000000000</x:f>
        <x:v>5.8</x:v>
      </x:c>
      <x:c r="K104" s="41" t="n">
        <x:f>IF(C104&lt;0,NA(),(F104-B104)/1000000)</x:f>
        <x:v>0.06519</x:v>
      </x:c>
      <x:c r="L104" s="39" t="n">
        <x:f>IF(C104&lt;0,1,IF(OR(G104=0,H104=0,I104=0,F104-B104&gt;100000000),1,0))</x:f>
        <x:v>0</x:v>
      </x:c>
      <x:c r="M104" s="39" t="n">
        <x:f>IF(C104&lt;0,1,0)</x:f>
        <x:v>0</x:v>
      </x:c>
      <x:c r="N104" s="1"/>
      <x:c r="O104" s="1"/>
      <x:c r="P104" s="1"/>
      <x:c r="Q104" s="1"/>
      <x:c r="R104" s="1"/>
    </x:row>
    <x:row r="105" ht="22" customHeight="1">
      <x:c r="A105" s="39" t="n">
        <x:v>59</x:v>
      </x:c>
      <x:c r="B105" s="39" t="n">
        <x:v>5900000000</x:v>
      </x:c>
      <x:c r="C105" s="39" t="n">
        <x:v>5900050616</x:v>
      </x:c>
      <x:c r="D105" s="39" t="n">
        <x:v>5900065763</x:v>
      </x:c>
      <x:c r="E105" s="39" t="n">
        <x:v>5900080558</x:v>
      </x:c>
      <x:c r="F105" s="39" t="n">
        <x:v>5900084595</x:v>
      </x:c>
      <x:c r="G105" s="39" t="n">
        <x:v>1</x:v>
      </x:c>
      <x:c r="H105" s="39" t="n">
        <x:v>1</x:v>
      </x:c>
      <x:c r="I105" s="39" t="n">
        <x:v>1</x:v>
      </x:c>
      <x:c r="J105" s="40" t="n">
        <x:f>B105/1000000000</x:f>
        <x:v>5.9</x:v>
      </x:c>
      <x:c r="K105" s="41" t="n">
        <x:f>IF(C105&lt;0,NA(),(F105-B105)/1000000)</x:f>
        <x:v>0.084595</x:v>
      </x:c>
      <x:c r="L105" s="39" t="n">
        <x:f>IF(C105&lt;0,1,IF(OR(G105=0,H105=0,I105=0,F105-B105&gt;100000000),1,0))</x:f>
        <x:v>0</x:v>
      </x:c>
      <x:c r="M105" s="39" t="n">
        <x:f>IF(C105&lt;0,1,0)</x:f>
        <x:v>0</x:v>
      </x:c>
      <x:c r="N105" s="1"/>
      <x:c r="O105" s="1"/>
      <x:c r="P105" s="1"/>
      <x:c r="Q105" s="1"/>
      <x:c r="R105" s="1"/>
    </x:row>
    <x:row r="106" ht="22" customHeight="1">
      <x:c r="A106" s="39" t="n">
        <x:v>60</x:v>
      </x:c>
      <x:c r="B106" s="39" t="n">
        <x:v>6000000000</x:v>
      </x:c>
      <x:c r="C106" s="39" t="n">
        <x:v>6000057470</x:v>
      </x:c>
      <x:c r="D106" s="39" t="n">
        <x:v>6000084338</x:v>
      </x:c>
      <x:c r="E106" s="39" t="n">
        <x:v>6000105632</x:v>
      </x:c>
      <x:c r="F106" s="39" t="n">
        <x:v>6000110391</x:v>
      </x:c>
      <x:c r="G106" s="39" t="n">
        <x:v>1</x:v>
      </x:c>
      <x:c r="H106" s="39" t="n">
        <x:v>1</x:v>
      </x:c>
      <x:c r="I106" s="39" t="n">
        <x:v>1</x:v>
      </x:c>
      <x:c r="J106" s="40" t="n">
        <x:f>B106/1000000000</x:f>
        <x:v>6</x:v>
      </x:c>
      <x:c r="K106" s="41" t="n">
        <x:f>IF(C106&lt;0,NA(),(F106-B106)/1000000)</x:f>
        <x:v>0.110391</x:v>
      </x:c>
      <x:c r="L106" s="39" t="n">
        <x:f>IF(C106&lt;0,1,IF(OR(G106=0,H106=0,I106=0,F106-B106&gt;100000000),1,0))</x:f>
        <x:v>0</x:v>
      </x:c>
      <x:c r="M106" s="39" t="n">
        <x:f>IF(C106&lt;0,1,0)</x:f>
        <x:v>0</x:v>
      </x:c>
      <x:c r="N106" s="1"/>
      <x:c r="O106" s="1"/>
      <x:c r="P106" s="1"/>
      <x:c r="Q106" s="1"/>
      <x:c r="R106" s="1"/>
    </x:row>
    <x:row r="107" ht="22" customHeight="1">
      <x:c r="A107" s="39" t="n">
        <x:v>61</x:v>
      </x:c>
      <x:c r="B107" s="39" t="n">
        <x:v>6100000000</x:v>
      </x:c>
      <x:c r="C107" s="39" t="n">
        <x:v>6100051880</x:v>
      </x:c>
      <x:c r="D107" s="39" t="n">
        <x:v>6100067342</x:v>
      </x:c>
      <x:c r="E107" s="39" t="n">
        <x:v>6100082952</x:v>
      </x:c>
      <x:c r="F107" s="39" t="n">
        <x:v>6100087266</x:v>
      </x:c>
      <x:c r="G107" s="39" t="n">
        <x:v>1</x:v>
      </x:c>
      <x:c r="H107" s="39" t="n">
        <x:v>1</x:v>
      </x:c>
      <x:c r="I107" s="39" t="n">
        <x:v>1</x:v>
      </x:c>
      <x:c r="J107" s="40" t="n">
        <x:f>B107/1000000000</x:f>
        <x:v>6.1</x:v>
      </x:c>
      <x:c r="K107" s="41" t="n">
        <x:f>IF(C107&lt;0,NA(),(F107-B107)/1000000)</x:f>
        <x:v>0.087266</x:v>
      </x:c>
      <x:c r="L107" s="39" t="n">
        <x:f>IF(C107&lt;0,1,IF(OR(G107=0,H107=0,I107=0,F107-B107&gt;100000000),1,0))</x:f>
        <x:v>0</x:v>
      </x:c>
      <x:c r="M107" s="39" t="n">
        <x:f>IF(C107&lt;0,1,0)</x:f>
        <x:v>0</x:v>
      </x:c>
      <x:c r="N107" s="1"/>
      <x:c r="O107" s="1"/>
      <x:c r="P107" s="1"/>
      <x:c r="Q107" s="1"/>
      <x:c r="R107" s="1"/>
    </x:row>
    <x:row r="108" ht="22" customHeight="1">
      <x:c r="A108" s="39" t="n">
        <x:v>62</x:v>
      </x:c>
      <x:c r="B108" s="39" t="n">
        <x:v>6200000000</x:v>
      </x:c>
      <x:c r="C108" s="39" t="n">
        <x:v>6200051420</x:v>
      </x:c>
      <x:c r="D108" s="39" t="n">
        <x:v>6200062974</x:v>
      </x:c>
      <x:c r="E108" s="39" t="n">
        <x:v>6200074733</x:v>
      </x:c>
      <x:c r="F108" s="39" t="n">
        <x:v>6200079251</x:v>
      </x:c>
      <x:c r="G108" s="39" t="n">
        <x:v>1</x:v>
      </x:c>
      <x:c r="H108" s="39" t="n">
        <x:v>1</x:v>
      </x:c>
      <x:c r="I108" s="39" t="n">
        <x:v>1</x:v>
      </x:c>
      <x:c r="J108" s="40" t="n">
        <x:f>B108/1000000000</x:f>
        <x:v>6.2</x:v>
      </x:c>
      <x:c r="K108" s="41" t="n">
        <x:f>IF(C108&lt;0,NA(),(F108-B108)/1000000)</x:f>
        <x:v>0.079251</x:v>
      </x:c>
      <x:c r="L108" s="39" t="n">
        <x:f>IF(C108&lt;0,1,IF(OR(G108=0,H108=0,I108=0,F108-B108&gt;100000000),1,0))</x:f>
        <x:v>0</x:v>
      </x:c>
      <x:c r="M108" s="39" t="n">
        <x:f>IF(C108&lt;0,1,0)</x:f>
        <x:v>0</x:v>
      </x:c>
      <x:c r="N108" s="1"/>
      <x:c r="O108" s="1"/>
      <x:c r="P108" s="1"/>
      <x:c r="Q108" s="1"/>
      <x:c r="R108" s="1"/>
    </x:row>
    <x:row r="109" ht="22" customHeight="1">
      <x:c r="A109" s="39" t="n">
        <x:v>63</x:v>
      </x:c>
      <x:c r="B109" s="39" t="n">
        <x:v>6300000000</x:v>
      </x:c>
      <x:c r="C109" s="39" t="n">
        <x:v>6300055718</x:v>
      </x:c>
      <x:c r="D109" s="39" t="n">
        <x:v>6300071532</x:v>
      </x:c>
      <x:c r="E109" s="39" t="n">
        <x:v>6300085456</x:v>
      </x:c>
      <x:c r="F109" s="39" t="n">
        <x:v>6300089956</x:v>
      </x:c>
      <x:c r="G109" s="39" t="n">
        <x:v>1</x:v>
      </x:c>
      <x:c r="H109" s="39" t="n">
        <x:v>1</x:v>
      </x:c>
      <x:c r="I109" s="39" t="n">
        <x:v>1</x:v>
      </x:c>
      <x:c r="J109" s="40" t="n">
        <x:f>B109/1000000000</x:f>
        <x:v>6.3</x:v>
      </x:c>
      <x:c r="K109" s="41" t="n">
        <x:f>IF(C109&lt;0,NA(),(F109-B109)/1000000)</x:f>
        <x:v>0.089956</x:v>
      </x:c>
      <x:c r="L109" s="39" t="n">
        <x:f>IF(C109&lt;0,1,IF(OR(G109=0,H109=0,I109=0,F109-B109&gt;100000000),1,0))</x:f>
        <x:v>0</x:v>
      </x:c>
      <x:c r="M109" s="39" t="n">
        <x:f>IF(C109&lt;0,1,0)</x:f>
        <x:v>0</x:v>
      </x:c>
      <x:c r="N109" s="1"/>
      <x:c r="O109" s="1"/>
      <x:c r="P109" s="1"/>
      <x:c r="Q109" s="1"/>
      <x:c r="R109" s="1"/>
    </x:row>
    <x:row r="110" ht="22" customHeight="1">
      <x:c r="A110" s="39" t="n">
        <x:v>64</x:v>
      </x:c>
      <x:c r="B110" s="39" t="n">
        <x:v>6400000000</x:v>
      </x:c>
      <x:c r="C110" s="39" t="n">
        <x:v>6400046184</x:v>
      </x:c>
      <x:c r="D110" s="39" t="n">
        <x:v>6400053628</x:v>
      </x:c>
      <x:c r="E110" s="39" t="n">
        <x:v>6400062201</x:v>
      </x:c>
      <x:c r="F110" s="39" t="n">
        <x:v>6400066831</x:v>
      </x:c>
      <x:c r="G110" s="39" t="n">
        <x:v>1</x:v>
      </x:c>
      <x:c r="H110" s="39" t="n">
        <x:v>1</x:v>
      </x:c>
      <x:c r="I110" s="39" t="n">
        <x:v>1</x:v>
      </x:c>
      <x:c r="J110" s="40" t="n">
        <x:f>B110/1000000000</x:f>
        <x:v>6.4</x:v>
      </x:c>
      <x:c r="K110" s="41" t="n">
        <x:f>IF(C110&lt;0,NA(),(F110-B110)/1000000)</x:f>
        <x:v>0.066831</x:v>
      </x:c>
      <x:c r="L110" s="39" t="n">
        <x:f>IF(C110&lt;0,1,IF(OR(G110=0,H110=0,I110=0,F110-B110&gt;100000000),1,0))</x:f>
        <x:v>0</x:v>
      </x:c>
      <x:c r="M110" s="39" t="n">
        <x:f>IF(C110&lt;0,1,0)</x:f>
        <x:v>0</x:v>
      </x:c>
      <x:c r="N110" s="1"/>
      <x:c r="O110" s="1"/>
      <x:c r="P110" s="1"/>
      <x:c r="Q110" s="1"/>
      <x:c r="R110" s="1"/>
    </x:row>
    <x:row r="111" ht="22" customHeight="1">
      <x:c r="A111" s="39" t="n">
        <x:v>65</x:v>
      </x:c>
      <x:c r="B111" s="39" t="n">
        <x:v>6500000000</x:v>
      </x:c>
      <x:c r="C111" s="39" t="n">
        <x:v>6500056223</x:v>
      </x:c>
      <x:c r="D111" s="39" t="n">
        <x:v>6500075055</x:v>
      </x:c>
      <x:c r="E111" s="39" t="n">
        <x:v>6500092553</x:v>
      </x:c>
      <x:c r="F111" s="39" t="n">
        <x:v>6500097460</x:v>
      </x:c>
      <x:c r="G111" s="39" t="n">
        <x:v>1</x:v>
      </x:c>
      <x:c r="H111" s="39" t="n">
        <x:v>1</x:v>
      </x:c>
      <x:c r="I111" s="39" t="n">
        <x:v>1</x:v>
      </x:c>
      <x:c r="J111" s="40" t="n">
        <x:f>B111/1000000000</x:f>
        <x:v>6.5</x:v>
      </x:c>
      <x:c r="K111" s="41" t="n">
        <x:f>IF(C111&lt;0,NA(),(F111-B111)/1000000)</x:f>
        <x:v>0.09746</x:v>
      </x:c>
      <x:c r="L111" s="39" t="n">
        <x:f>IF(C111&lt;0,1,IF(OR(G111=0,H111=0,I111=0,F111-B111&gt;100000000),1,0))</x:f>
        <x:v>0</x:v>
      </x:c>
      <x:c r="M111" s="39" t="n">
        <x:f>IF(C111&lt;0,1,0)</x:f>
        <x:v>0</x:v>
      </x:c>
      <x:c r="N111" s="1"/>
      <x:c r="O111" s="1"/>
      <x:c r="P111" s="1"/>
      <x:c r="Q111" s="1"/>
      <x:c r="R111" s="1"/>
    </x:row>
    <x:row r="112" ht="22" customHeight="1">
      <x:c r="A112" s="39" t="n">
        <x:v>66</x:v>
      </x:c>
      <x:c r="B112" s="39" t="n">
        <x:v>6600000000</x:v>
      </x:c>
      <x:c r="C112" s="39" t="n">
        <x:v>6600055651</x:v>
      </x:c>
      <x:c r="D112" s="39" t="n">
        <x:v>6600077131</x:v>
      </x:c>
      <x:c r="E112" s="39" t="n">
        <x:v>6600094814</x:v>
      </x:c>
      <x:c r="F112" s="39" t="n">
        <x:v>6600100203</x:v>
      </x:c>
      <x:c r="G112" s="39" t="n">
        <x:v>1</x:v>
      </x:c>
      <x:c r="H112" s="39" t="n">
        <x:v>1</x:v>
      </x:c>
      <x:c r="I112" s="39" t="n">
        <x:v>1</x:v>
      </x:c>
      <x:c r="J112" s="40" t="n">
        <x:f>B112/1000000000</x:f>
        <x:v>6.6</x:v>
      </x:c>
      <x:c r="K112" s="41" t="n">
        <x:f>IF(C112&lt;0,NA(),(F112-B112)/1000000)</x:f>
        <x:v>0.100203</x:v>
      </x:c>
      <x:c r="L112" s="39" t="n">
        <x:f>IF(C112&lt;0,1,IF(OR(G112=0,H112=0,I112=0,F112-B112&gt;100000000),1,0))</x:f>
        <x:v>0</x:v>
      </x:c>
      <x:c r="M112" s="39" t="n">
        <x:f>IF(C112&lt;0,1,0)</x:f>
        <x:v>0</x:v>
      </x:c>
      <x:c r="N112" s="1"/>
      <x:c r="O112" s="1"/>
      <x:c r="P112" s="1"/>
      <x:c r="Q112" s="1"/>
      <x:c r="R112" s="1"/>
    </x:row>
    <x:row r="113" ht="22" customHeight="1">
      <x:c r="A113" s="39" t="n">
        <x:v>67</x:v>
      </x:c>
      <x:c r="B113" s="39" t="n">
        <x:v>6700000000</x:v>
      </x:c>
      <x:c r="C113" s="39" t="n">
        <x:v>6700050025</x:v>
      </x:c>
      <x:c r="D113" s="39" t="n">
        <x:v>6700058709</x:v>
      </x:c>
      <x:c r="E113" s="39" t="n">
        <x:v>6700067727</x:v>
      </x:c>
      <x:c r="F113" s="39" t="n">
        <x:v>6700072541</x:v>
      </x:c>
      <x:c r="G113" s="39" t="n">
        <x:v>1</x:v>
      </x:c>
      <x:c r="H113" s="39" t="n">
        <x:v>1</x:v>
      </x:c>
      <x:c r="I113" s="39" t="n">
        <x:v>1</x:v>
      </x:c>
      <x:c r="J113" s="40" t="n">
        <x:f>B113/1000000000</x:f>
        <x:v>6.7</x:v>
      </x:c>
      <x:c r="K113" s="41" t="n">
        <x:f>IF(C113&lt;0,NA(),(F113-B113)/1000000)</x:f>
        <x:v>0.072541</x:v>
      </x:c>
      <x:c r="L113" s="39" t="n">
        <x:f>IF(C113&lt;0,1,IF(OR(G113=0,H113=0,I113=0,F113-B113&gt;100000000),1,0))</x:f>
        <x:v>0</x:v>
      </x:c>
      <x:c r="M113" s="39" t="n">
        <x:f>IF(C113&lt;0,1,0)</x:f>
        <x:v>0</x:v>
      </x:c>
      <x:c r="N113" s="1"/>
      <x:c r="O113" s="1"/>
      <x:c r="P113" s="1"/>
      <x:c r="Q113" s="1"/>
      <x:c r="R113" s="1"/>
    </x:row>
    <x:row r="114" ht="22" customHeight="1">
      <x:c r="A114" s="39" t="n">
        <x:v>68</x:v>
      </x:c>
      <x:c r="B114" s="39" t="n">
        <x:v>6800000000</x:v>
      </x:c>
      <x:c r="C114" s="39" t="n">
        <x:v>6800049435</x:v>
      </x:c>
      <x:c r="D114" s="39" t="n">
        <x:v>6800055878</x:v>
      </x:c>
      <x:c r="E114" s="39" t="n">
        <x:v>6800063767</x:v>
      </x:c>
      <x:c r="F114" s="39" t="n">
        <x:v>6800068692</x:v>
      </x:c>
      <x:c r="G114" s="39" t="n">
        <x:v>1</x:v>
      </x:c>
      <x:c r="H114" s="39" t="n">
        <x:v>1</x:v>
      </x:c>
      <x:c r="I114" s="39" t="n">
        <x:v>1</x:v>
      </x:c>
      <x:c r="J114" s="40" t="n">
        <x:f>B114/1000000000</x:f>
        <x:v>6.8</x:v>
      </x:c>
      <x:c r="K114" s="41" t="n">
        <x:f>IF(C114&lt;0,NA(),(F114-B114)/1000000)</x:f>
        <x:v>0.068692</x:v>
      </x:c>
      <x:c r="L114" s="39" t="n">
        <x:f>IF(C114&lt;0,1,IF(OR(G114=0,H114=0,I114=0,F114-B114&gt;100000000),1,0))</x:f>
        <x:v>0</x:v>
      </x:c>
      <x:c r="M114" s="39" t="n">
        <x:f>IF(C114&lt;0,1,0)</x:f>
        <x:v>0</x:v>
      </x:c>
      <x:c r="N114" s="1"/>
      <x:c r="O114" s="1"/>
      <x:c r="P114" s="1"/>
      <x:c r="Q114" s="1"/>
      <x:c r="R114" s="1"/>
    </x:row>
    <x:row r="115" ht="22" customHeight="1">
      <x:c r="A115" s="39" t="n">
        <x:v>69</x:v>
      </x:c>
      <x:c r="B115" s="39" t="n">
        <x:v>6900000000</x:v>
      </x:c>
      <x:c r="C115" s="39" t="n">
        <x:v>6900054096</x:v>
      </x:c>
      <x:c r="D115" s="39" t="n">
        <x:v>6900065188</x:v>
      </x:c>
      <x:c r="E115" s="39" t="n">
        <x:v>6900076483</x:v>
      </x:c>
      <x:c r="F115" s="39" t="n">
        <x:v>6900081761</x:v>
      </x:c>
      <x:c r="G115" s="39" t="n">
        <x:v>1</x:v>
      </x:c>
      <x:c r="H115" s="39" t="n">
        <x:v>1</x:v>
      </x:c>
      <x:c r="I115" s="39" t="n">
        <x:v>1</x:v>
      </x:c>
      <x:c r="J115" s="40" t="n">
        <x:f>B115/1000000000</x:f>
        <x:v>6.9</x:v>
      </x:c>
      <x:c r="K115" s="41" t="n">
        <x:f>IF(C115&lt;0,NA(),(F115-B115)/1000000)</x:f>
        <x:v>0.081761</x:v>
      </x:c>
      <x:c r="L115" s="39" t="n">
        <x:f>IF(C115&lt;0,1,IF(OR(G115=0,H115=0,I115=0,F115-B115&gt;100000000),1,0))</x:f>
        <x:v>0</x:v>
      </x:c>
      <x:c r="M115" s="39" t="n">
        <x:f>IF(C115&lt;0,1,0)</x:f>
        <x:v>0</x:v>
      </x:c>
      <x:c r="N115" s="1"/>
      <x:c r="O115" s="1"/>
      <x:c r="P115" s="1"/>
      <x:c r="Q115" s="1"/>
      <x:c r="R115" s="1"/>
    </x:row>
    <x:row r="116" ht="22" customHeight="1">
      <x:c r="A116" s="39" t="n">
        <x:v>70</x:v>
      </x:c>
      <x:c r="B116" s="39" t="n">
        <x:v>7000000000</x:v>
      </x:c>
      <x:c r="C116" s="39" t="n">
        <x:v>7000047494</x:v>
      </x:c>
      <x:c r="D116" s="39" t="n">
        <x:v>7000055938</x:v>
      </x:c>
      <x:c r="E116" s="39" t="n">
        <x:v>7000065585</x:v>
      </x:c>
      <x:c r="F116" s="39" t="n">
        <x:v>7000070973</x:v>
      </x:c>
      <x:c r="G116" s="39" t="n">
        <x:v>1</x:v>
      </x:c>
      <x:c r="H116" s="39" t="n">
        <x:v>1</x:v>
      </x:c>
      <x:c r="I116" s="39" t="n">
        <x:v>1</x:v>
      </x:c>
      <x:c r="J116" s="40" t="n">
        <x:f>B116/1000000000</x:f>
        <x:v>7</x:v>
      </x:c>
      <x:c r="K116" s="41" t="n">
        <x:f>IF(C116&lt;0,NA(),(F116-B116)/1000000)</x:f>
        <x:v>0.070973</x:v>
      </x:c>
      <x:c r="L116" s="39" t="n">
        <x:f>IF(C116&lt;0,1,IF(OR(G116=0,H116=0,I116=0,F116-B116&gt;100000000),1,0))</x:f>
        <x:v>0</x:v>
      </x:c>
      <x:c r="M116" s="39" t="n">
        <x:f>IF(C116&lt;0,1,0)</x:f>
        <x:v>0</x:v>
      </x:c>
      <x:c r="N116" s="1"/>
      <x:c r="O116" s="1"/>
      <x:c r="P116" s="1"/>
      <x:c r="Q116" s="1"/>
      <x:c r="R116" s="1"/>
    </x:row>
    <x:row r="117" ht="22" customHeight="1">
      <x:c r="A117" s="39" t="n">
        <x:v>71</x:v>
      </x:c>
      <x:c r="B117" s="39" t="n">
        <x:v>7100000000</x:v>
      </x:c>
      <x:c r="C117" s="39" t="n">
        <x:v>7100053353</x:v>
      </x:c>
      <x:c r="D117" s="39" t="n">
        <x:v>7100060093</x:v>
      </x:c>
      <x:c r="E117" s="39" t="n">
        <x:v>7100067889</x:v>
      </x:c>
      <x:c r="F117" s="39" t="n">
        <x:v>7100073203</x:v>
      </x:c>
      <x:c r="G117" s="39" t="n">
        <x:v>1</x:v>
      </x:c>
      <x:c r="H117" s="39" t="n">
        <x:v>1</x:v>
      </x:c>
      <x:c r="I117" s="39" t="n">
        <x:v>1</x:v>
      </x:c>
      <x:c r="J117" s="40" t="n">
        <x:f>B117/1000000000</x:f>
        <x:v>7.1</x:v>
      </x:c>
      <x:c r="K117" s="41" t="n">
        <x:f>IF(C117&lt;0,NA(),(F117-B117)/1000000)</x:f>
        <x:v>0.073203</x:v>
      </x:c>
      <x:c r="L117" s="39" t="n">
        <x:f>IF(C117&lt;0,1,IF(OR(G117=0,H117=0,I117=0,F117-B117&gt;100000000),1,0))</x:f>
        <x:v>0</x:v>
      </x:c>
      <x:c r="M117" s="39" t="n">
        <x:f>IF(C117&lt;0,1,0)</x:f>
        <x:v>0</x:v>
      </x:c>
      <x:c r="N117" s="1"/>
      <x:c r="O117" s="1"/>
      <x:c r="P117" s="1"/>
      <x:c r="Q117" s="1"/>
      <x:c r="R117" s="1"/>
    </x:row>
    <x:row r="118" ht="22" customHeight="1">
      <x:c r="A118" s="39" t="n">
        <x:v>72</x:v>
      </x:c>
      <x:c r="B118" s="39" t="n">
        <x:v>7200000000</x:v>
      </x:c>
      <x:c r="C118" s="39" t="n">
        <x:v>7200054842</x:v>
      </x:c>
      <x:c r="D118" s="39" t="n">
        <x:v>7200081007</x:v>
      </x:c>
      <x:c r="E118" s="39" t="n">
        <x:v>7200104560</x:v>
      </x:c>
      <x:c r="F118" s="39" t="n">
        <x:v>7200111078</x:v>
      </x:c>
      <x:c r="G118" s="39" t="n">
        <x:v>1</x:v>
      </x:c>
      <x:c r="H118" s="39" t="n">
        <x:v>1</x:v>
      </x:c>
      <x:c r="I118" s="39" t="n">
        <x:v>1</x:v>
      </x:c>
      <x:c r="J118" s="40" t="n">
        <x:f>B118/1000000000</x:f>
        <x:v>7.2</x:v>
      </x:c>
      <x:c r="K118" s="41" t="n">
        <x:f>IF(C118&lt;0,NA(),(F118-B118)/1000000)</x:f>
        <x:v>0.111078</x:v>
      </x:c>
      <x:c r="L118" s="39" t="n">
        <x:f>IF(C118&lt;0,1,IF(OR(G118=0,H118=0,I118=0,F118-B118&gt;100000000),1,0))</x:f>
        <x:v>0</x:v>
      </x:c>
      <x:c r="M118" s="39" t="n">
        <x:f>IF(C118&lt;0,1,0)</x:f>
        <x:v>0</x:v>
      </x:c>
      <x:c r="N118" s="1"/>
      <x:c r="O118" s="1"/>
      <x:c r="P118" s="1"/>
      <x:c r="Q118" s="1"/>
      <x:c r="R118" s="1"/>
    </x:row>
    <x:row r="119" ht="22" customHeight="1">
      <x:c r="A119" s="39" t="n">
        <x:v>73</x:v>
      </x:c>
      <x:c r="B119" s="39" t="n">
        <x:v>7300000000</x:v>
      </x:c>
      <x:c r="C119" s="39" t="n">
        <x:v>7300053036</x:v>
      </x:c>
      <x:c r="D119" s="39" t="n">
        <x:v>7300062183</x:v>
      </x:c>
      <x:c r="E119" s="39" t="n">
        <x:v>7300072682</x:v>
      </x:c>
      <x:c r="F119" s="39" t="n">
        <x:v>7300078274</x:v>
      </x:c>
      <x:c r="G119" s="39" t="n">
        <x:v>1</x:v>
      </x:c>
      <x:c r="H119" s="39" t="n">
        <x:v>1</x:v>
      </x:c>
      <x:c r="I119" s="39" t="n">
        <x:v>1</x:v>
      </x:c>
      <x:c r="J119" s="40" t="n">
        <x:f>B119/1000000000</x:f>
        <x:v>7.3</x:v>
      </x:c>
      <x:c r="K119" s="41" t="n">
        <x:f>IF(C119&lt;0,NA(),(F119-B119)/1000000)</x:f>
        <x:v>0.078274</x:v>
      </x:c>
      <x:c r="L119" s="39" t="n">
        <x:f>IF(C119&lt;0,1,IF(OR(G119=0,H119=0,I119=0,F119-B119&gt;100000000),1,0))</x:f>
        <x:v>0</x:v>
      </x:c>
      <x:c r="M119" s="39" t="n">
        <x:f>IF(C119&lt;0,1,0)</x:f>
        <x:v>0</x:v>
      </x:c>
      <x:c r="N119" s="1"/>
      <x:c r="O119" s="1"/>
      <x:c r="P119" s="1"/>
      <x:c r="Q119" s="1"/>
      <x:c r="R119" s="1"/>
    </x:row>
    <x:row r="120" ht="22" customHeight="1">
      <x:c r="A120" s="39" t="n">
        <x:v>74</x:v>
      </x:c>
      <x:c r="B120" s="39" t="n">
        <x:v>7400000000</x:v>
      </x:c>
      <x:c r="C120" s="39" t="n">
        <x:v>7400045859</x:v>
      </x:c>
      <x:c r="D120" s="39" t="n">
        <x:v>7400052155</x:v>
      </x:c>
      <x:c r="E120" s="39" t="n">
        <x:v>7400059525</x:v>
      </x:c>
      <x:c r="F120" s="39" t="n">
        <x:v>7400065302</x:v>
      </x:c>
      <x:c r="G120" s="39" t="n">
        <x:v>1</x:v>
      </x:c>
      <x:c r="H120" s="39" t="n">
        <x:v>1</x:v>
      </x:c>
      <x:c r="I120" s="39" t="n">
        <x:v>1</x:v>
      </x:c>
      <x:c r="J120" s="40" t="n">
        <x:f>B120/1000000000</x:f>
        <x:v>7.4</x:v>
      </x:c>
      <x:c r="K120" s="41" t="n">
        <x:f>IF(C120&lt;0,NA(),(F120-B120)/1000000)</x:f>
        <x:v>0.065302</x:v>
      </x:c>
      <x:c r="L120" s="39" t="n">
        <x:f>IF(C120&lt;0,1,IF(OR(G120=0,H120=0,I120=0,F120-B120&gt;100000000),1,0))</x:f>
        <x:v>0</x:v>
      </x:c>
      <x:c r="M120" s="39" t="n">
        <x:f>IF(C120&lt;0,1,0)</x:f>
        <x:v>0</x:v>
      </x:c>
      <x:c r="N120" s="1"/>
      <x:c r="O120" s="1"/>
      <x:c r="P120" s="1"/>
      <x:c r="Q120" s="1"/>
      <x:c r="R120" s="1"/>
    </x:row>
    <x:row r="121" ht="22" customHeight="1">
      <x:c r="A121" s="39" t="n">
        <x:v>75</x:v>
      </x:c>
      <x:c r="B121" s="39" t="n">
        <x:v>7500000000</x:v>
      </x:c>
      <x:c r="C121" s="39" t="n">
        <x:v>7500054237</x:v>
      </x:c>
      <x:c r="D121" s="39" t="n">
        <x:v>7500067847</x:v>
      </x:c>
      <x:c r="E121" s="39" t="n">
        <x:v>7500082457</x:v>
      </x:c>
      <x:c r="F121" s="39" t="n">
        <x:v>7500088400</x:v>
      </x:c>
      <x:c r="G121" s="39" t="n">
        <x:v>1</x:v>
      </x:c>
      <x:c r="H121" s="39" t="n">
        <x:v>1</x:v>
      </x:c>
      <x:c r="I121" s="39" t="n">
        <x:v>1</x:v>
      </x:c>
      <x:c r="J121" s="40" t="n">
        <x:f>B121/1000000000</x:f>
        <x:v>7.5</x:v>
      </x:c>
      <x:c r="K121" s="41" t="n">
        <x:f>IF(C121&lt;0,NA(),(F121-B121)/1000000)</x:f>
        <x:v>0.0884</x:v>
      </x:c>
      <x:c r="L121" s="39" t="n">
        <x:f>IF(C121&lt;0,1,IF(OR(G121=0,H121=0,I121=0,F121-B121&gt;100000000),1,0))</x:f>
        <x:v>0</x:v>
      </x:c>
      <x:c r="M121" s="39" t="n">
        <x:f>IF(C121&lt;0,1,0)</x:f>
        <x:v>0</x:v>
      </x:c>
      <x:c r="N121" s="1"/>
      <x:c r="O121" s="1"/>
      <x:c r="P121" s="1"/>
      <x:c r="Q121" s="1"/>
      <x:c r="R121" s="1"/>
    </x:row>
    <x:row r="122" ht="22" customHeight="1">
      <x:c r="A122" s="39" t="n">
        <x:v>76</x:v>
      </x:c>
      <x:c r="B122" s="39" t="n">
        <x:v>7600000000</x:v>
      </x:c>
      <x:c r="C122" s="39" t="n">
        <x:v>7600047412</x:v>
      </x:c>
      <x:c r="D122" s="39" t="n">
        <x:v>7600056615</x:v>
      </x:c>
      <x:c r="E122" s="39" t="n">
        <x:v>7600066373</x:v>
      </x:c>
      <x:c r="F122" s="39" t="n">
        <x:v>7600072669</x:v>
      </x:c>
      <x:c r="G122" s="39" t="n">
        <x:v>1</x:v>
      </x:c>
      <x:c r="H122" s="39" t="n">
        <x:v>1</x:v>
      </x:c>
      <x:c r="I122" s="39" t="n">
        <x:v>1</x:v>
      </x:c>
      <x:c r="J122" s="40" t="n">
        <x:f>B122/1000000000</x:f>
        <x:v>7.6</x:v>
      </x:c>
      <x:c r="K122" s="41" t="n">
        <x:f>IF(C122&lt;0,NA(),(F122-B122)/1000000)</x:f>
        <x:v>0.072669</x:v>
      </x:c>
      <x:c r="L122" s="39" t="n">
        <x:f>IF(C122&lt;0,1,IF(OR(G122=0,H122=0,I122=0,F122-B122&gt;100000000),1,0))</x:f>
        <x:v>0</x:v>
      </x:c>
      <x:c r="M122" s="39" t="n">
        <x:f>IF(C122&lt;0,1,0)</x:f>
        <x:v>0</x:v>
      </x:c>
      <x:c r="N122" s="1"/>
      <x:c r="O122" s="1"/>
      <x:c r="P122" s="1"/>
      <x:c r="Q122" s="1"/>
      <x:c r="R122" s="1"/>
    </x:row>
    <x:row r="123" ht="22" customHeight="1">
      <x:c r="A123" s="39" t="n">
        <x:v>77</x:v>
      </x:c>
      <x:c r="B123" s="39" t="n">
        <x:v>7700000000</x:v>
      </x:c>
      <x:c r="C123" s="39" t="n">
        <x:v>7700051994</x:v>
      </x:c>
      <x:c r="D123" s="39" t="n">
        <x:v>7700060234</x:v>
      </x:c>
      <x:c r="E123" s="39" t="n">
        <x:v>7700069640</x:v>
      </x:c>
      <x:c r="F123" s="39" t="n">
        <x:v>7700075732</x:v>
      </x:c>
      <x:c r="G123" s="39" t="n">
        <x:v>1</x:v>
      </x:c>
      <x:c r="H123" s="39" t="n">
        <x:v>1</x:v>
      </x:c>
      <x:c r="I123" s="39" t="n">
        <x:v>1</x:v>
      </x:c>
      <x:c r="J123" s="40" t="n">
        <x:f>B123/1000000000</x:f>
        <x:v>7.7</x:v>
      </x:c>
      <x:c r="K123" s="41" t="n">
        <x:f>IF(C123&lt;0,NA(),(F123-B123)/1000000)</x:f>
        <x:v>0.075732</x:v>
      </x:c>
      <x:c r="L123" s="39" t="n">
        <x:f>IF(C123&lt;0,1,IF(OR(G123=0,H123=0,I123=0,F123-B123&gt;100000000),1,0))</x:f>
        <x:v>0</x:v>
      </x:c>
      <x:c r="M123" s="39" t="n">
        <x:f>IF(C123&lt;0,1,0)</x:f>
        <x:v>0</x:v>
      </x:c>
      <x:c r="N123" s="1"/>
      <x:c r="O123" s="1"/>
      <x:c r="P123" s="1"/>
      <x:c r="Q123" s="1"/>
      <x:c r="R123" s="1"/>
    </x:row>
    <x:row r="124" ht="22" customHeight="1">
      <x:c r="A124" s="39" t="n">
        <x:v>78</x:v>
      </x:c>
      <x:c r="B124" s="39" t="n">
        <x:v>7800000000</x:v>
      </x:c>
      <x:c r="C124" s="39" t="n">
        <x:v>7800055149</x:v>
      </x:c>
      <x:c r="D124" s="39" t="n">
        <x:v>7800076222</x:v>
      </x:c>
      <x:c r="E124" s="39" t="n">
        <x:v>7800094072</x:v>
      </x:c>
      <x:c r="F124" s="39" t="n">
        <x:v>7800100979</x:v>
      </x:c>
      <x:c r="G124" s="39" t="n">
        <x:v>1</x:v>
      </x:c>
      <x:c r="H124" s="39" t="n">
        <x:v>1</x:v>
      </x:c>
      <x:c r="I124" s="39" t="n">
        <x:v>1</x:v>
      </x:c>
      <x:c r="J124" s="40" t="n">
        <x:f>B124/1000000000</x:f>
        <x:v>7.8</x:v>
      </x:c>
      <x:c r="K124" s="41" t="n">
        <x:f>IF(C124&lt;0,NA(),(F124-B124)/1000000)</x:f>
        <x:v>0.100979</x:v>
      </x:c>
      <x:c r="L124" s="39" t="n">
        <x:f>IF(C124&lt;0,1,IF(OR(G124=0,H124=0,I124=0,F124-B124&gt;100000000),1,0))</x:f>
        <x:v>0</x:v>
      </x:c>
      <x:c r="M124" s="39" t="n">
        <x:f>IF(C124&lt;0,1,0)</x:f>
        <x:v>0</x:v>
      </x:c>
      <x:c r="N124" s="1"/>
      <x:c r="O124" s="1"/>
      <x:c r="P124" s="1"/>
      <x:c r="Q124" s="1"/>
      <x:c r="R124" s="1"/>
    </x:row>
    <x:row r="125" ht="22" customHeight="1">
      <x:c r="A125" s="39" t="n">
        <x:v>79</x:v>
      </x:c>
      <x:c r="B125" s="39" t="n">
        <x:v>7900000000</x:v>
      </x:c>
      <x:c r="C125" s="39" t="n">
        <x:v>7900047167</x:v>
      </x:c>
      <x:c r="D125" s="39" t="n">
        <x:v>7900055277</x:v>
      </x:c>
      <x:c r="E125" s="39" t="n">
        <x:v>7900064628</x:v>
      </x:c>
      <x:c r="F125" s="39" t="n">
        <x:v>7900071017</x:v>
      </x:c>
      <x:c r="G125" s="39" t="n">
        <x:v>1</x:v>
      </x:c>
      <x:c r="H125" s="39" t="n">
        <x:v>1</x:v>
      </x:c>
      <x:c r="I125" s="39" t="n">
        <x:v>1</x:v>
      </x:c>
      <x:c r="J125" s="40" t="n">
        <x:f>B125/1000000000</x:f>
        <x:v>7.9</x:v>
      </x:c>
      <x:c r="K125" s="41" t="n">
        <x:f>IF(C125&lt;0,NA(),(F125-B125)/1000000)</x:f>
        <x:v>0.071017</x:v>
      </x:c>
      <x:c r="L125" s="39" t="n">
        <x:f>IF(C125&lt;0,1,IF(OR(G125=0,H125=0,I125=0,F125-B125&gt;100000000),1,0))</x:f>
        <x:v>0</x:v>
      </x:c>
      <x:c r="M125" s="39" t="n">
        <x:f>IF(C125&lt;0,1,0)</x:f>
        <x:v>0</x:v>
      </x:c>
      <x:c r="N125" s="1"/>
      <x:c r="O125" s="1"/>
      <x:c r="P125" s="1"/>
      <x:c r="Q125" s="1"/>
      <x:c r="R125" s="1"/>
    </x:row>
    <x:row r="126" ht="22" customHeight="1">
      <x:c r="A126" s="39" t="n">
        <x:v>80</x:v>
      </x:c>
      <x:c r="B126" s="39" t="n">
        <x:v>8000000000</x:v>
      </x:c>
      <x:c r="C126" s="39" t="n">
        <x:v>8000047038</x:v>
      </x:c>
      <x:c r="D126" s="39" t="n">
        <x:v>8000054870</x:v>
      </x:c>
      <x:c r="E126" s="39" t="n">
        <x:v>8000063592</x:v>
      </x:c>
      <x:c r="F126" s="39" t="n">
        <x:v>8000070295</x:v>
      </x:c>
      <x:c r="G126" s="39" t="n">
        <x:v>1</x:v>
      </x:c>
      <x:c r="H126" s="39" t="n">
        <x:v>1</x:v>
      </x:c>
      <x:c r="I126" s="39" t="n">
        <x:v>1</x:v>
      </x:c>
      <x:c r="J126" s="40" t="n">
        <x:f>B126/1000000000</x:f>
        <x:v>8</x:v>
      </x:c>
      <x:c r="K126" s="41" t="n">
        <x:f>IF(C126&lt;0,NA(),(F126-B126)/1000000)</x:f>
        <x:v>0.070295</x:v>
      </x:c>
      <x:c r="L126" s="39" t="n">
        <x:f>IF(C126&lt;0,1,IF(OR(G126=0,H126=0,I126=0,F126-B126&gt;100000000),1,0))</x:f>
        <x:v>0</x:v>
      </x:c>
      <x:c r="M126" s="39" t="n">
        <x:f>IF(C126&lt;0,1,0)</x:f>
        <x:v>0</x:v>
      </x:c>
      <x:c r="N126" s="1"/>
      <x:c r="O126" s="1"/>
      <x:c r="P126" s="1"/>
      <x:c r="Q126" s="1"/>
      <x:c r="R126" s="1"/>
    </x:row>
    <x:row r="127" ht="22" customHeight="1">
      <x:c r="A127" s="39" t="n">
        <x:v>81</x:v>
      </x:c>
      <x:c r="B127" s="39" t="n">
        <x:v>8100000000</x:v>
      </x:c>
      <x:c r="C127" s="39" t="n">
        <x:v>8100046334</x:v>
      </x:c>
      <x:c r="D127" s="39" t="n">
        <x:v>8100053389</x:v>
      </x:c>
      <x:c r="E127" s="39" t="n">
        <x:v>8100061926</x:v>
      </x:c>
      <x:c r="F127" s="39" t="n">
        <x:v>8100068647</x:v>
      </x:c>
      <x:c r="G127" s="39" t="n">
        <x:v>1</x:v>
      </x:c>
      <x:c r="H127" s="39" t="n">
        <x:v>1</x:v>
      </x:c>
      <x:c r="I127" s="39" t="n">
        <x:v>1</x:v>
      </x:c>
      <x:c r="J127" s="40" t="n">
        <x:f>B127/1000000000</x:f>
        <x:v>8.1</x:v>
      </x:c>
      <x:c r="K127" s="41" t="n">
        <x:f>IF(C127&lt;0,NA(),(F127-B127)/1000000)</x:f>
        <x:v>0.068647</x:v>
      </x:c>
      <x:c r="L127" s="39" t="n">
        <x:f>IF(C127&lt;0,1,IF(OR(G127=0,H127=0,I127=0,F127-B127&gt;100000000),1,0))</x:f>
        <x:v>0</x:v>
      </x:c>
      <x:c r="M127" s="39" t="n">
        <x:f>IF(C127&lt;0,1,0)</x:f>
        <x:v>0</x:v>
      </x:c>
      <x:c r="N127" s="1"/>
      <x:c r="O127" s="1"/>
      <x:c r="P127" s="1"/>
      <x:c r="Q127" s="1"/>
      <x:c r="R127" s="1"/>
    </x:row>
    <x:row r="128" ht="22" customHeight="1">
      <x:c r="A128" s="39" t="n">
        <x:v>82</x:v>
      </x:c>
      <x:c r="B128" s="39" t="n">
        <x:v>8200000000</x:v>
      </x:c>
      <x:c r="C128" s="39" t="n">
        <x:v>8200046113</x:v>
      </x:c>
      <x:c r="D128" s="39" t="n">
        <x:v>8200051779</x:v>
      </x:c>
      <x:c r="E128" s="39" t="n">
        <x:v>8200059371</x:v>
      </x:c>
      <x:c r="F128" s="39" t="n">
        <x:v>8200066204</x:v>
      </x:c>
      <x:c r="G128" s="39" t="n">
        <x:v>1</x:v>
      </x:c>
      <x:c r="H128" s="39" t="n">
        <x:v>1</x:v>
      </x:c>
      <x:c r="I128" s="39" t="n">
        <x:v>1</x:v>
      </x:c>
      <x:c r="J128" s="40" t="n">
        <x:f>B128/1000000000</x:f>
        <x:v>8.2</x:v>
      </x:c>
      <x:c r="K128" s="41" t="n">
        <x:f>IF(C128&lt;0,NA(),(F128-B128)/1000000)</x:f>
        <x:v>0.066204</x:v>
      </x:c>
      <x:c r="L128" s="39" t="n">
        <x:f>IF(C128&lt;0,1,IF(OR(G128=0,H128=0,I128=0,F128-B128&gt;100000000),1,0))</x:f>
        <x:v>0</x:v>
      </x:c>
      <x:c r="M128" s="39" t="n">
        <x:f>IF(C128&lt;0,1,0)</x:f>
        <x:v>0</x:v>
      </x:c>
      <x:c r="N128" s="1"/>
      <x:c r="O128" s="1"/>
      <x:c r="P128" s="1"/>
      <x:c r="Q128" s="1"/>
      <x:c r="R128" s="1"/>
    </x:row>
    <x:row r="129" ht="22" customHeight="1">
      <x:c r="A129" s="39" t="n">
        <x:v>83</x:v>
      </x:c>
      <x:c r="B129" s="39" t="n">
        <x:v>8300000000</x:v>
      </x:c>
      <x:c r="C129" s="39" t="n">
        <x:v>8300045706</x:v>
      </x:c>
      <x:c r="D129" s="39" t="n">
        <x:v>8300051650</x:v>
      </x:c>
      <x:c r="E129" s="39" t="n">
        <x:v>8300058890</x:v>
      </x:c>
      <x:c r="F129" s="39" t="n">
        <x:v>8300065685</x:v>
      </x:c>
      <x:c r="G129" s="39" t="n">
        <x:v>1</x:v>
      </x:c>
      <x:c r="H129" s="39" t="n">
        <x:v>1</x:v>
      </x:c>
      <x:c r="I129" s="39" t="n">
        <x:v>1</x:v>
      </x:c>
      <x:c r="J129" s="40" t="n">
        <x:f>B129/1000000000</x:f>
        <x:v>8.3</x:v>
      </x:c>
      <x:c r="K129" s="41" t="n">
        <x:f>IF(C129&lt;0,NA(),(F129-B129)/1000000)</x:f>
        <x:v>0.065685</x:v>
      </x:c>
      <x:c r="L129" s="39" t="n">
        <x:f>IF(C129&lt;0,1,IF(OR(G129=0,H129=0,I129=0,F129-B129&gt;100000000),1,0))</x:f>
        <x:v>0</x:v>
      </x:c>
      <x:c r="M129" s="39" t="n">
        <x:f>IF(C129&lt;0,1,0)</x:f>
        <x:v>0</x:v>
      </x:c>
      <x:c r="N129" s="1"/>
      <x:c r="O129" s="1"/>
      <x:c r="P129" s="1"/>
      <x:c r="Q129" s="1"/>
      <x:c r="R129" s="1"/>
    </x:row>
    <x:row r="130" ht="22" customHeight="1">
      <x:c r="A130" s="39" t="n">
        <x:v>84</x:v>
      </x:c>
      <x:c r="B130" s="39" t="n">
        <x:v>8400000000</x:v>
      </x:c>
      <x:c r="C130" s="39" t="n">
        <x:v>8400054094</x:v>
      </x:c>
      <x:c r="D130" s="39" t="n">
        <x:v>8400079259</x:v>
      </x:c>
      <x:c r="E130" s="39" t="n">
        <x:v>8400099720</x:v>
      </x:c>
      <x:c r="F130" s="39" t="n">
        <x:v>8400107868</x:v>
      </x:c>
      <x:c r="G130" s="39" t="n">
        <x:v>1</x:v>
      </x:c>
      <x:c r="H130" s="39" t="n">
        <x:v>1</x:v>
      </x:c>
      <x:c r="I130" s="39" t="n">
        <x:v>1</x:v>
      </x:c>
      <x:c r="J130" s="40" t="n">
        <x:f>B130/1000000000</x:f>
        <x:v>8.4</x:v>
      </x:c>
      <x:c r="K130" s="41" t="n">
        <x:f>IF(C130&lt;0,NA(),(F130-B130)/1000000)</x:f>
        <x:v>0.107868</x:v>
      </x:c>
      <x:c r="L130" s="39" t="n">
        <x:f>IF(C130&lt;0,1,IF(OR(G130=0,H130=0,I130=0,F130-B130&gt;100000000),1,0))</x:f>
        <x:v>0</x:v>
      </x:c>
      <x:c r="M130" s="39" t="n">
        <x:f>IF(C130&lt;0,1,0)</x:f>
        <x:v>0</x:v>
      </x:c>
      <x:c r="N130" s="1"/>
      <x:c r="O130" s="1"/>
      <x:c r="P130" s="1"/>
      <x:c r="Q130" s="1"/>
      <x:c r="R130" s="1"/>
    </x:row>
    <x:row r="131" ht="22" customHeight="1">
      <x:c r="A131" s="39" t="n">
        <x:v>85</x:v>
      </x:c>
      <x:c r="B131" s="39" t="n">
        <x:v>8500000000</x:v>
      </x:c>
      <x:c r="C131" s="39" t="n">
        <x:v>8500048040</x:v>
      </x:c>
      <x:c r="D131" s="39" t="n">
        <x:v>8500062668</x:v>
      </x:c>
      <x:c r="E131" s="39" t="n">
        <x:v>8500076000</x:v>
      </x:c>
      <x:c r="F131" s="39" t="n">
        <x:v>8500083352</x:v>
      </x:c>
      <x:c r="G131" s="39" t="n">
        <x:v>1</x:v>
      </x:c>
      <x:c r="H131" s="39" t="n">
        <x:v>1</x:v>
      </x:c>
      <x:c r="I131" s="39" t="n">
        <x:v>1</x:v>
      </x:c>
      <x:c r="J131" s="40" t="n">
        <x:f>B131/1000000000</x:f>
        <x:v>8.5</x:v>
      </x:c>
      <x:c r="K131" s="41" t="n">
        <x:f>IF(C131&lt;0,NA(),(F131-B131)/1000000)</x:f>
        <x:v>0.083352</x:v>
      </x:c>
      <x:c r="L131" s="39" t="n">
        <x:f>IF(C131&lt;0,1,IF(OR(G131=0,H131=0,I131=0,F131-B131&gt;100000000),1,0))</x:f>
        <x:v>0</x:v>
      </x:c>
      <x:c r="M131" s="39" t="n">
        <x:f>IF(C131&lt;0,1,0)</x:f>
        <x:v>0</x:v>
      </x:c>
      <x:c r="N131" s="1"/>
      <x:c r="O131" s="1"/>
      <x:c r="P131" s="1"/>
      <x:c r="Q131" s="1"/>
      <x:c r="R131" s="1"/>
    </x:row>
    <x:row r="132" ht="22" customHeight="1">
      <x:c r="A132" s="39" t="n">
        <x:v>86</x:v>
      </x:c>
      <x:c r="B132" s="39" t="n">
        <x:v>8600000000</x:v>
      </x:c>
      <x:c r="C132" s="39" t="n">
        <x:v>8600049596</x:v>
      </x:c>
      <x:c r="D132" s="39" t="n">
        <x:v>8600061817</x:v>
      </x:c>
      <x:c r="E132" s="39" t="n">
        <x:v>8600073316</x:v>
      </x:c>
      <x:c r="F132" s="39" t="n">
        <x:v>8600081111</x:v>
      </x:c>
      <x:c r="G132" s="39" t="n">
        <x:v>1</x:v>
      </x:c>
      <x:c r="H132" s="39" t="n">
        <x:v>1</x:v>
      </x:c>
      <x:c r="I132" s="39" t="n">
        <x:v>1</x:v>
      </x:c>
      <x:c r="J132" s="40" t="n">
        <x:f>B132/1000000000</x:f>
        <x:v>8.6</x:v>
      </x:c>
      <x:c r="K132" s="41" t="n">
        <x:f>IF(C132&lt;0,NA(),(F132-B132)/1000000)</x:f>
        <x:v>0.081111</x:v>
      </x:c>
      <x:c r="L132" s="39" t="n">
        <x:f>IF(C132&lt;0,1,IF(OR(G132=0,H132=0,I132=0,F132-B132&gt;100000000),1,0))</x:f>
        <x:v>0</x:v>
      </x:c>
      <x:c r="M132" s="39" t="n">
        <x:f>IF(C132&lt;0,1,0)</x:f>
        <x:v>0</x:v>
      </x:c>
      <x:c r="N132" s="1"/>
      <x:c r="O132" s="1"/>
      <x:c r="P132" s="1"/>
      <x:c r="Q132" s="1"/>
      <x:c r="R132" s="1"/>
    </x:row>
    <x:row r="133" ht="22" customHeight="1">
      <x:c r="A133" s="39" t="n">
        <x:v>87</x:v>
      </x:c>
      <x:c r="B133" s="39" t="n">
        <x:v>8700000000</x:v>
      </x:c>
      <x:c r="C133" s="39" t="n">
        <x:v>8700053188</x:v>
      </x:c>
      <x:c r="D133" s="39" t="n">
        <x:v>8700061965</x:v>
      </x:c>
      <x:c r="E133" s="39" t="n">
        <x:v>8700071668</x:v>
      </x:c>
      <x:c r="F133" s="39" t="n">
        <x:v>8700079149</x:v>
      </x:c>
      <x:c r="G133" s="39" t="n">
        <x:v>1</x:v>
      </x:c>
      <x:c r="H133" s="39" t="n">
        <x:v>1</x:v>
      </x:c>
      <x:c r="I133" s="39" t="n">
        <x:v>1</x:v>
      </x:c>
      <x:c r="J133" s="40" t="n">
        <x:f>B133/1000000000</x:f>
        <x:v>8.7</x:v>
      </x:c>
      <x:c r="K133" s="41" t="n">
        <x:f>IF(C133&lt;0,NA(),(F133-B133)/1000000)</x:f>
        <x:v>0.079149</x:v>
      </x:c>
      <x:c r="L133" s="39" t="n">
        <x:f>IF(C133&lt;0,1,IF(OR(G133=0,H133=0,I133=0,F133-B133&gt;100000000),1,0))</x:f>
        <x:v>0</x:v>
      </x:c>
      <x:c r="M133" s="39" t="n">
        <x:f>IF(C133&lt;0,1,0)</x:f>
        <x:v>0</x:v>
      </x:c>
      <x:c r="N133" s="1"/>
      <x:c r="O133" s="1"/>
      <x:c r="P133" s="1"/>
      <x:c r="Q133" s="1"/>
      <x:c r="R133" s="1"/>
    </x:row>
    <x:row r="134" ht="22" customHeight="1">
      <x:c r="A134" s="39" t="n">
        <x:v>88</x:v>
      </x:c>
      <x:c r="B134" s="39" t="n">
        <x:v>8800000000</x:v>
      </x:c>
      <x:c r="C134" s="39" t="n">
        <x:v>8800050652</x:v>
      </x:c>
      <x:c r="D134" s="39" t="n">
        <x:v>8800062632</x:v>
      </x:c>
      <x:c r="E134" s="39" t="n">
        <x:v>8800075020</x:v>
      </x:c>
      <x:c r="F134" s="39" t="n">
        <x:v>8800083205</x:v>
      </x:c>
      <x:c r="G134" s="39" t="n">
        <x:v>1</x:v>
      </x:c>
      <x:c r="H134" s="39" t="n">
        <x:v>1</x:v>
      </x:c>
      <x:c r="I134" s="39" t="n">
        <x:v>1</x:v>
      </x:c>
      <x:c r="J134" s="40" t="n">
        <x:f>B134/1000000000</x:f>
        <x:v>8.8</x:v>
      </x:c>
      <x:c r="K134" s="41" t="n">
        <x:f>IF(C134&lt;0,NA(),(F134-B134)/1000000)</x:f>
        <x:v>0.083205</x:v>
      </x:c>
      <x:c r="L134" s="39" t="n">
        <x:f>IF(C134&lt;0,1,IF(OR(G134=0,H134=0,I134=0,F134-B134&gt;100000000),1,0))</x:f>
        <x:v>0</x:v>
      </x:c>
      <x:c r="M134" s="39" t="n">
        <x:f>IF(C134&lt;0,1,0)</x:f>
        <x:v>0</x:v>
      </x:c>
      <x:c r="N134" s="1"/>
      <x:c r="O134" s="1"/>
      <x:c r="P134" s="1"/>
      <x:c r="Q134" s="1"/>
      <x:c r="R134" s="1"/>
    </x:row>
    <x:row r="135" ht="22" customHeight="1">
      <x:c r="A135" s="39" t="n">
        <x:v>89</x:v>
      </x:c>
      <x:c r="B135" s="39" t="n">
        <x:v>8900000000</x:v>
      </x:c>
      <x:c r="C135" s="39" t="n">
        <x:v>8900063665</x:v>
      </x:c>
      <x:c r="D135" s="39" t="n">
        <x:v>8900100088</x:v>
      </x:c>
      <x:c r="E135" s="39" t="n">
        <x:v>8900137344</x:v>
      </x:c>
      <x:c r="F135" s="39" t="n">
        <x:v>8900148658</x:v>
      </x:c>
      <x:c r="G135" s="39" t="n">
        <x:v>1</x:v>
      </x:c>
      <x:c r="H135" s="39" t="n">
        <x:v>1</x:v>
      </x:c>
      <x:c r="I135" s="39" t="n">
        <x:v>1</x:v>
      </x:c>
      <x:c r="J135" s="40" t="n">
        <x:f>B135/1000000000</x:f>
        <x:v>8.9</x:v>
      </x:c>
      <x:c r="K135" s="41" t="n">
        <x:f>IF(C135&lt;0,NA(),(F135-B135)/1000000)</x:f>
        <x:v>0.148658</x:v>
      </x:c>
      <x:c r="L135" s="39" t="n">
        <x:f>IF(C135&lt;0,1,IF(OR(G135=0,H135=0,I135=0,F135-B135&gt;100000000),1,0))</x:f>
        <x:v>0</x:v>
      </x:c>
      <x:c r="M135" s="39" t="n">
        <x:f>IF(C135&lt;0,1,0)</x:f>
        <x:v>0</x:v>
      </x:c>
      <x:c r="N135" s="1"/>
      <x:c r="O135" s="1"/>
      <x:c r="P135" s="1"/>
      <x:c r="Q135" s="1"/>
      <x:c r="R135" s="1"/>
    </x:row>
    <x:row r="136" ht="22" customHeight="1">
      <x:c r="A136" s="39" t="n">
        <x:v>90</x:v>
      </x:c>
      <x:c r="B136" s="39" t="n">
        <x:v>9000000000</x:v>
      </x:c>
      <x:c r="C136" s="39" t="n">
        <x:v>9000085496</x:v>
      </x:c>
      <x:c r="D136" s="39" t="n">
        <x:v>9000176434</x:v>
      </x:c>
      <x:c r="E136" s="39" t="n">
        <x:v>9000253946</x:v>
      </x:c>
      <x:c r="F136" s="39" t="n">
        <x:v>9000268112</x:v>
      </x:c>
      <x:c r="G136" s="39" t="n">
        <x:v>1</x:v>
      </x:c>
      <x:c r="H136" s="39" t="n">
        <x:v>1</x:v>
      </x:c>
      <x:c r="I136" s="39" t="n">
        <x:v>1</x:v>
      </x:c>
      <x:c r="J136" s="40" t="n">
        <x:f>B136/1000000000</x:f>
        <x:v>9</x:v>
      </x:c>
      <x:c r="K136" s="41" t="n">
        <x:f>IF(C136&lt;0,NA(),(F136-B136)/1000000)</x:f>
        <x:v>0.268112</x:v>
      </x:c>
      <x:c r="L136" s="39" t="n">
        <x:f>IF(C136&lt;0,1,IF(OR(G136=0,H136=0,I136=0,F136-B136&gt;100000000),1,0))</x:f>
        <x:v>0</x:v>
      </x:c>
      <x:c r="M136" s="39" t="n">
        <x:f>IF(C136&lt;0,1,0)</x:f>
        <x:v>0</x:v>
      </x:c>
      <x:c r="N136" s="1"/>
      <x:c r="O136" s="1"/>
      <x:c r="P136" s="1"/>
      <x:c r="Q136" s="1"/>
      <x:c r="R136" s="1"/>
    </x:row>
    <x:row r="137" ht="22" customHeight="1">
      <x:c r="A137" s="39" t="n">
        <x:v>91</x:v>
      </x:c>
      <x:c r="B137" s="39" t="n">
        <x:v>9100000000</x:v>
      </x:c>
      <x:c r="C137" s="39" t="n">
        <x:v>9100059851</x:v>
      </x:c>
      <x:c r="D137" s="39" t="n">
        <x:v>9100104199</x:v>
      </x:c>
      <x:c r="E137" s="39" t="n">
        <x:v>9100147844</x:v>
      </x:c>
      <x:c r="F137" s="39" t="n">
        <x:v>9100158436</x:v>
      </x:c>
      <x:c r="G137" s="39" t="n">
        <x:v>1</x:v>
      </x:c>
      <x:c r="H137" s="39" t="n">
        <x:v>1</x:v>
      </x:c>
      <x:c r="I137" s="39" t="n">
        <x:v>1</x:v>
      </x:c>
      <x:c r="J137" s="40" t="n">
        <x:f>B137/1000000000</x:f>
        <x:v>9.1</x:v>
      </x:c>
      <x:c r="K137" s="41" t="n">
        <x:f>IF(C137&lt;0,NA(),(F137-B137)/1000000)</x:f>
        <x:v>0.158436</x:v>
      </x:c>
      <x:c r="L137" s="39" t="n">
        <x:f>IF(C137&lt;0,1,IF(OR(G137=0,H137=0,I137=0,F137-B137&gt;100000000),1,0))</x:f>
        <x:v>0</x:v>
      </x:c>
      <x:c r="M137" s="39" t="n">
        <x:f>IF(C137&lt;0,1,0)</x:f>
        <x:v>0</x:v>
      </x:c>
      <x:c r="N137" s="1"/>
      <x:c r="O137" s="1"/>
      <x:c r="P137" s="1"/>
      <x:c r="Q137" s="1"/>
      <x:c r="R137" s="1"/>
    </x:row>
    <x:row r="138" ht="22" customHeight="1">
      <x:c r="A138" s="39" t="n">
        <x:v>92</x:v>
      </x:c>
      <x:c r="B138" s="39" t="n">
        <x:v>9200000000</x:v>
      </x:c>
      <x:c r="C138" s="39" t="n">
        <x:v>9200074405</x:v>
      </x:c>
      <x:c r="D138" s="39" t="n">
        <x:v>9200200951</x:v>
      </x:c>
      <x:c r="E138" s="39" t="n">
        <x:v>9200250373</x:v>
      </x:c>
      <x:c r="F138" s="39" t="n">
        <x:v>9200261132</x:v>
      </x:c>
      <x:c r="G138" s="39" t="n">
        <x:v>1</x:v>
      </x:c>
      <x:c r="H138" s="39" t="n">
        <x:v>1</x:v>
      </x:c>
      <x:c r="I138" s="39" t="n">
        <x:v>1</x:v>
      </x:c>
      <x:c r="J138" s="40" t="n">
        <x:f>B138/1000000000</x:f>
        <x:v>9.2</x:v>
      </x:c>
      <x:c r="K138" s="41" t="n">
        <x:f>IF(C138&lt;0,NA(),(F138-B138)/1000000)</x:f>
        <x:v>0.261132</x:v>
      </x:c>
      <x:c r="L138" s="39" t="n">
        <x:f>IF(C138&lt;0,1,IF(OR(G138=0,H138=0,I138=0,F138-B138&gt;100000000),1,0))</x:f>
        <x:v>0</x:v>
      </x:c>
      <x:c r="M138" s="39" t="n">
        <x:f>IF(C138&lt;0,1,0)</x:f>
        <x:v>0</x:v>
      </x:c>
      <x:c r="N138" s="1"/>
      <x:c r="O138" s="1"/>
      <x:c r="P138" s="1"/>
      <x:c r="Q138" s="1"/>
      <x:c r="R138" s="1"/>
    </x:row>
    <x:row r="139" ht="22" customHeight="1">
      <x:c r="A139" s="39" t="n">
        <x:v>93</x:v>
      </x:c>
      <x:c r="B139" s="39" t="n">
        <x:v>9300000000</x:v>
      </x:c>
      <x:c r="C139" s="39" t="n">
        <x:v>9300062203</x:v>
      </x:c>
      <x:c r="D139" s="39" t="n">
        <x:v>9300105459</x:v>
      </x:c>
      <x:c r="E139" s="39" t="n">
        <x:v>9300154085</x:v>
      </x:c>
      <x:c r="F139" s="39" t="n">
        <x:v>9300169176</x:v>
      </x:c>
      <x:c r="G139" s="39" t="n">
        <x:v>1</x:v>
      </x:c>
      <x:c r="H139" s="39" t="n">
        <x:v>1</x:v>
      </x:c>
      <x:c r="I139" s="39" t="n">
        <x:v>1</x:v>
      </x:c>
      <x:c r="J139" s="40" t="n">
        <x:f>B139/1000000000</x:f>
        <x:v>9.3</x:v>
      </x:c>
      <x:c r="K139" s="41" t="n">
        <x:f>IF(C139&lt;0,NA(),(F139-B139)/1000000)</x:f>
        <x:v>0.169176</x:v>
      </x:c>
      <x:c r="L139" s="39" t="n">
        <x:f>IF(C139&lt;0,1,IF(OR(G139=0,H139=0,I139=0,F139-B139&gt;100000000),1,0))</x:f>
        <x:v>0</x:v>
      </x:c>
      <x:c r="M139" s="39" t="n">
        <x:f>IF(C139&lt;0,1,0)</x:f>
        <x:v>0</x:v>
      </x:c>
      <x:c r="N139" s="1"/>
      <x:c r="O139" s="1"/>
      <x:c r="P139" s="1"/>
      <x:c r="Q139" s="1"/>
      <x:c r="R139" s="1"/>
    </x:row>
    <x:row r="140" ht="22" customHeight="1">
      <x:c r="A140" s="39" t="n">
        <x:v>94</x:v>
      </x:c>
      <x:c r="B140" s="39" t="n">
        <x:v>9400000000</x:v>
      </x:c>
      <x:c r="C140" s="39" t="n">
        <x:v>9400060166</x:v>
      </x:c>
      <x:c r="D140" s="39" t="n">
        <x:v>9400093219</x:v>
      </x:c>
      <x:c r="E140" s="39" t="n">
        <x:v>9400122476</x:v>
      </x:c>
      <x:c r="F140" s="39" t="n">
        <x:v>9400132698</x:v>
      </x:c>
      <x:c r="G140" s="39" t="n">
        <x:v>1</x:v>
      </x:c>
      <x:c r="H140" s="39" t="n">
        <x:v>1</x:v>
      </x:c>
      <x:c r="I140" s="39" t="n">
        <x:v>1</x:v>
      </x:c>
      <x:c r="J140" s="40" t="n">
        <x:f>B140/1000000000</x:f>
        <x:v>9.4</x:v>
      </x:c>
      <x:c r="K140" s="41" t="n">
        <x:f>IF(C140&lt;0,NA(),(F140-B140)/1000000)</x:f>
        <x:v>0.132698</x:v>
      </x:c>
      <x:c r="L140" s="39" t="n">
        <x:f>IF(C140&lt;0,1,IF(OR(G140=0,H140=0,I140=0,F140-B140&gt;100000000),1,0))</x:f>
        <x:v>0</x:v>
      </x:c>
      <x:c r="M140" s="39" t="n">
        <x:f>IF(C140&lt;0,1,0)</x:f>
        <x:v>0</x:v>
      </x:c>
      <x:c r="N140" s="1"/>
      <x:c r="O140" s="1"/>
      <x:c r="P140" s="1"/>
      <x:c r="Q140" s="1"/>
      <x:c r="R140" s="1"/>
    </x:row>
    <x:row r="141" ht="22" customHeight="1">
      <x:c r="A141" s="39" t="n">
        <x:v>95</x:v>
      </x:c>
      <x:c r="B141" s="39" t="n">
        <x:v>9500000000</x:v>
      </x:c>
      <x:c r="C141" s="39" t="n">
        <x:v>9500063555</x:v>
      </x:c>
      <x:c r="D141" s="39" t="n">
        <x:v>9500107052</x:v>
      </x:c>
      <x:c r="E141" s="39" t="n">
        <x:v>9500140531</x:v>
      </x:c>
      <x:c r="F141" s="39" t="n">
        <x:v>9500150271</x:v>
      </x:c>
      <x:c r="G141" s="39" t="n">
        <x:v>1</x:v>
      </x:c>
      <x:c r="H141" s="39" t="n">
        <x:v>1</x:v>
      </x:c>
      <x:c r="I141" s="39" t="n">
        <x:v>1</x:v>
      </x:c>
      <x:c r="J141" s="40" t="n">
        <x:f>B141/1000000000</x:f>
        <x:v>9.5</x:v>
      </x:c>
      <x:c r="K141" s="41" t="n">
        <x:f>IF(C141&lt;0,NA(),(F141-B141)/1000000)</x:f>
        <x:v>0.150271</x:v>
      </x:c>
      <x:c r="L141" s="39" t="n">
        <x:f>IF(C141&lt;0,1,IF(OR(G141=0,H141=0,I141=0,F141-B141&gt;100000000),1,0))</x:f>
        <x:v>0</x:v>
      </x:c>
      <x:c r="M141" s="39" t="n">
        <x:f>IF(C141&lt;0,1,0)</x:f>
        <x:v>0</x:v>
      </x:c>
      <x:c r="N141" s="1"/>
      <x:c r="O141" s="1"/>
      <x:c r="P141" s="1"/>
      <x:c r="Q141" s="1"/>
      <x:c r="R141" s="1"/>
    </x:row>
    <x:row r="142" ht="22" customHeight="1">
      <x:c r="A142" s="39" t="n">
        <x:v>96</x:v>
      </x:c>
      <x:c r="B142" s="39" t="n">
        <x:v>9600000000</x:v>
      </x:c>
      <x:c r="C142" s="39" t="n">
        <x:v>9600060241</x:v>
      </x:c>
      <x:c r="D142" s="39" t="n">
        <x:v>9600108534</x:v>
      </x:c>
      <x:c r="E142" s="39" t="n">
        <x:v>9600142883</x:v>
      </x:c>
      <x:c r="F142" s="39" t="n">
        <x:v>9600153956</x:v>
      </x:c>
      <x:c r="G142" s="39" t="n">
        <x:v>1</x:v>
      </x:c>
      <x:c r="H142" s="39" t="n">
        <x:v>1</x:v>
      </x:c>
      <x:c r="I142" s="39" t="n">
        <x:v>1</x:v>
      </x:c>
      <x:c r="J142" s="40" t="n">
        <x:f>B142/1000000000</x:f>
        <x:v>9.6</x:v>
      </x:c>
      <x:c r="K142" s="41" t="n">
        <x:f>IF(C142&lt;0,NA(),(F142-B142)/1000000)</x:f>
        <x:v>0.153956</x:v>
      </x:c>
      <x:c r="L142" s="39" t="n">
        <x:f>IF(C142&lt;0,1,IF(OR(G142=0,H142=0,I142=0,F142-B142&gt;100000000),1,0))</x:f>
        <x:v>0</x:v>
      </x:c>
      <x:c r="M142" s="39" t="n">
        <x:f>IF(C142&lt;0,1,0)</x:f>
        <x:v>0</x:v>
      </x:c>
      <x:c r="N142" s="1"/>
      <x:c r="O142" s="1"/>
      <x:c r="P142" s="1"/>
      <x:c r="Q142" s="1"/>
      <x:c r="R142" s="1"/>
    </x:row>
    <x:row r="143" ht="22" customHeight="1">
      <x:c r="A143" s="39" t="n">
        <x:v>97</x:v>
      </x:c>
      <x:c r="B143" s="39" t="n">
        <x:v>9700000000</x:v>
      </x:c>
      <x:c r="C143" s="39" t="n">
        <x:v>9700059593</x:v>
      </x:c>
      <x:c r="D143" s="39" t="n">
        <x:v>9700103923</x:v>
      </x:c>
      <x:c r="E143" s="39" t="n">
        <x:v>9700135958</x:v>
      </x:c>
      <x:c r="F143" s="39" t="n">
        <x:v>9700145938</x:v>
      </x:c>
      <x:c r="G143" s="39" t="n">
        <x:v>1</x:v>
      </x:c>
      <x:c r="H143" s="39" t="n">
        <x:v>1</x:v>
      </x:c>
      <x:c r="I143" s="39" t="n">
        <x:v>1</x:v>
      </x:c>
      <x:c r="J143" s="40" t="n">
        <x:f>B143/1000000000</x:f>
        <x:v>9.7</x:v>
      </x:c>
      <x:c r="K143" s="41" t="n">
        <x:f>IF(C143&lt;0,NA(),(F143-B143)/1000000)</x:f>
        <x:v>0.145938</x:v>
      </x:c>
      <x:c r="L143" s="39" t="n">
        <x:f>IF(C143&lt;0,1,IF(OR(G143=0,H143=0,I143=0,F143-B143&gt;100000000),1,0))</x:f>
        <x:v>0</x:v>
      </x:c>
      <x:c r="M143" s="39" t="n">
        <x:f>IF(C143&lt;0,1,0)</x:f>
        <x:v>0</x:v>
      </x:c>
      <x:c r="N143" s="1"/>
      <x:c r="O143" s="1"/>
      <x:c r="P143" s="1"/>
      <x:c r="Q143" s="1"/>
      <x:c r="R143" s="1"/>
    </x:row>
    <x:row r="144" ht="22" customHeight="1">
      <x:c r="A144" s="39" t="n">
        <x:v>98</x:v>
      </x:c>
      <x:c r="B144" s="39" t="n">
        <x:v>9800000000</x:v>
      </x:c>
      <x:c r="C144" s="39" t="n">
        <x:v>9800062834</x:v>
      </x:c>
      <x:c r="D144" s="39" t="n">
        <x:v>9800122107</x:v>
      </x:c>
      <x:c r="E144" s="39" t="n">
        <x:v>9800161604</x:v>
      </x:c>
      <x:c r="F144" s="39" t="n">
        <x:v>9800173603</x:v>
      </x:c>
      <x:c r="G144" s="39" t="n">
        <x:v>1</x:v>
      </x:c>
      <x:c r="H144" s="39" t="n">
        <x:v>1</x:v>
      </x:c>
      <x:c r="I144" s="39" t="n">
        <x:v>1</x:v>
      </x:c>
      <x:c r="J144" s="40" t="n">
        <x:f>B144/1000000000</x:f>
        <x:v>9.8</x:v>
      </x:c>
      <x:c r="K144" s="41" t="n">
        <x:f>IF(C144&lt;0,NA(),(F144-B144)/1000000)</x:f>
        <x:v>0.173603</x:v>
      </x:c>
      <x:c r="L144" s="39" t="n">
        <x:f>IF(C144&lt;0,1,IF(OR(G144=0,H144=0,I144=0,F144-B144&gt;100000000),1,0))</x:f>
        <x:v>0</x:v>
      </x:c>
      <x:c r="M144" s="39" t="n">
        <x:f>IF(C144&lt;0,1,0)</x:f>
        <x:v>0</x:v>
      </x:c>
      <x:c r="N144" s="1"/>
      <x:c r="O144" s="1"/>
      <x:c r="P144" s="1"/>
      <x:c r="Q144" s="1"/>
      <x:c r="R144" s="1"/>
    </x:row>
    <x:row r="145" ht="22" customHeight="1">
      <x:c r="A145" s="39" t="n">
        <x:v>99</x:v>
      </x:c>
      <x:c r="B145" s="39" t="n">
        <x:v>9900000000</x:v>
      </x:c>
      <x:c r="C145" s="39" t="n">
        <x:v>9900063875</x:v>
      </x:c>
      <x:c r="D145" s="39" t="n">
        <x:v>9900122370</x:v>
      </x:c>
      <x:c r="E145" s="39" t="n">
        <x:v>9900159553</x:v>
      </x:c>
      <x:c r="F145" s="39" t="n">
        <x:v>9900171052</x:v>
      </x:c>
      <x:c r="G145" s="39" t="n">
        <x:v>1</x:v>
      </x:c>
      <x:c r="H145" s="39" t="n">
        <x:v>1</x:v>
      </x:c>
      <x:c r="I145" s="39" t="n">
        <x:v>1</x:v>
      </x:c>
      <x:c r="J145" s="40" t="n">
        <x:f>B145/1000000000</x:f>
        <x:v>9.9</x:v>
      </x:c>
      <x:c r="K145" s="41" t="n">
        <x:f>IF(C145&lt;0,NA(),(F145-B145)/1000000)</x:f>
        <x:v>0.171052</x:v>
      </x:c>
      <x:c r="L145" s="39" t="n">
        <x:f>IF(C145&lt;0,1,IF(OR(G145=0,H145=0,I145=0,F145-B145&gt;100000000),1,0))</x:f>
        <x:v>0</x:v>
      </x:c>
      <x:c r="M145" s="39" t="n">
        <x:f>IF(C145&lt;0,1,0)</x:f>
        <x:v>0</x:v>
      </x:c>
      <x:c r="N145" s="1"/>
      <x:c r="O145" s="1"/>
      <x:c r="P145" s="1"/>
      <x:c r="Q145" s="1"/>
      <x:c r="R145" s="1"/>
    </x:row>
    <x:row r="146" ht="22" customHeight="1">
      <x:c r="A146" s="39" t="n">
        <x:v>100</x:v>
      </x:c>
      <x:c r="B146" s="39" t="n">
        <x:v>10000000000</x:v>
      </x:c>
      <x:c r="C146" s="39" t="n">
        <x:v>10000061921</x:v>
      </x:c>
      <x:c r="D146" s="39" t="n">
        <x:v>10000113806</x:v>
      </x:c>
      <x:c r="E146" s="39" t="n">
        <x:v>10000151692</x:v>
      </x:c>
      <x:c r="F146" s="39" t="n">
        <x:v>10000163765</x:v>
      </x:c>
      <x:c r="G146" s="39" t="n">
        <x:v>1</x:v>
      </x:c>
      <x:c r="H146" s="39" t="n">
        <x:v>1</x:v>
      </x:c>
      <x:c r="I146" s="39" t="n">
        <x:v>1</x:v>
      </x:c>
      <x:c r="J146" s="40" t="n">
        <x:f>B146/1000000000</x:f>
        <x:v>10</x:v>
      </x:c>
      <x:c r="K146" s="41" t="n">
        <x:f>IF(C146&lt;0,NA(),(F146-B146)/1000000)</x:f>
        <x:v>0.163765</x:v>
      </x:c>
      <x:c r="L146" s="39" t="n">
        <x:f>IF(C146&lt;0,1,IF(OR(G146=0,H146=0,I146=0,F146-B146&gt;100000000),1,0))</x:f>
        <x:v>0</x:v>
      </x:c>
      <x:c r="M146" s="39" t="n">
        <x:f>IF(C146&lt;0,1,0)</x:f>
        <x:v>0</x:v>
      </x:c>
      <x:c r="N146" s="1"/>
      <x:c r="O146" s="1"/>
      <x:c r="P146" s="1"/>
      <x:c r="Q146" s="1"/>
      <x:c r="R146" s="1"/>
    </x:row>
    <x:row r="147" ht="22" customHeight="1">
      <x:c r="A147" s="39" t="n">
        <x:v>101</x:v>
      </x:c>
      <x:c r="B147" s="39" t="n">
        <x:v>10100000000</x:v>
      </x:c>
      <x:c r="C147" s="39" t="n">
        <x:v>10100103039</x:v>
      </x:c>
      <x:c r="D147" s="39" t="n">
        <x:v>10100305820</x:v>
      </x:c>
      <x:c r="E147" s="39" t="n">
        <x:v>10100494510</x:v>
      </x:c>
      <x:c r="F147" s="39" t="n">
        <x:v>10100520526</x:v>
      </x:c>
      <x:c r="G147" s="39" t="n">
        <x:v>1</x:v>
      </x:c>
      <x:c r="H147" s="39" t="n">
        <x:v>1</x:v>
      </x:c>
      <x:c r="I147" s="39" t="n">
        <x:v>1</x:v>
      </x:c>
      <x:c r="J147" s="40" t="n">
        <x:f>B147/1000000000</x:f>
        <x:v>10.1</x:v>
      </x:c>
      <x:c r="K147" s="41" t="n">
        <x:f>IF(C147&lt;0,NA(),(F147-B147)/1000000)</x:f>
        <x:v>0.520526</x:v>
      </x:c>
      <x:c r="L147" s="39" t="n">
        <x:f>IF(C147&lt;0,1,IF(OR(G147=0,H147=0,I147=0,F147-B147&gt;100000000),1,0))</x:f>
        <x:v>0</x:v>
      </x:c>
      <x:c r="M147" s="39" t="n">
        <x:f>IF(C147&lt;0,1,0)</x:f>
        <x:v>0</x:v>
      </x:c>
      <x:c r="N147" s="1"/>
      <x:c r="O147" s="1"/>
      <x:c r="P147" s="1"/>
      <x:c r="Q147" s="1"/>
      <x:c r="R147" s="1"/>
    </x:row>
    <x:row r="148" ht="22" customHeight="1">
      <x:c r="A148" s="39" t="n">
        <x:v>102</x:v>
      </x:c>
      <x:c r="B148" s="39" t="n">
        <x:v>10200000000</x:v>
      </x:c>
      <x:c r="C148" s="39" t="n">
        <x:v>10200061477</x:v>
      </x:c>
      <x:c r="D148" s="39" t="n">
        <x:v>10200114325</x:v>
      </x:c>
      <x:c r="E148" s="39" t="n">
        <x:v>10200153711</x:v>
      </x:c>
      <x:c r="F148" s="39" t="n">
        <x:v>10200165025</x:v>
      </x:c>
      <x:c r="G148" s="39" t="n">
        <x:v>1</x:v>
      </x:c>
      <x:c r="H148" s="39" t="n">
        <x:v>1</x:v>
      </x:c>
      <x:c r="I148" s="39" t="n">
        <x:v>1</x:v>
      </x:c>
      <x:c r="J148" s="40" t="n">
        <x:f>B148/1000000000</x:f>
        <x:v>10.2</x:v>
      </x:c>
      <x:c r="K148" s="41" t="n">
        <x:f>IF(C148&lt;0,NA(),(F148-B148)/1000000)</x:f>
        <x:v>0.165025</x:v>
      </x:c>
      <x:c r="L148" s="39" t="n">
        <x:f>IF(C148&lt;0,1,IF(OR(G148=0,H148=0,I148=0,F148-B148&gt;100000000),1,0))</x:f>
        <x:v>0</x:v>
      </x:c>
      <x:c r="M148" s="39" t="n">
        <x:f>IF(C148&lt;0,1,0)</x:f>
        <x:v>0</x:v>
      </x:c>
      <x:c r="N148" s="1"/>
      <x:c r="O148" s="1"/>
      <x:c r="P148" s="1"/>
      <x:c r="Q148" s="1"/>
      <x:c r="R148" s="1"/>
    </x:row>
    <x:row r="149" ht="22" customHeight="1">
      <x:c r="A149" s="39" t="n">
        <x:v>103</x:v>
      </x:c>
      <x:c r="B149" s="39" t="n">
        <x:v>10300000000</x:v>
      </x:c>
      <x:c r="C149" s="39" t="n">
        <x:v>10300058079</x:v>
      </x:c>
      <x:c r="D149" s="39" t="n">
        <x:v>10300094262</x:v>
      </x:c>
      <x:c r="E149" s="39" t="n">
        <x:v>10300126889</x:v>
      </x:c>
      <x:c r="F149" s="39" t="n">
        <x:v>10300138147</x:v>
      </x:c>
      <x:c r="G149" s="39" t="n">
        <x:v>1</x:v>
      </x:c>
      <x:c r="H149" s="39" t="n">
        <x:v>1</x:v>
      </x:c>
      <x:c r="I149" s="39" t="n">
        <x:v>1</x:v>
      </x:c>
      <x:c r="J149" s="40" t="n">
        <x:f>B149/1000000000</x:f>
        <x:v>10.3</x:v>
      </x:c>
      <x:c r="K149" s="41" t="n">
        <x:f>IF(C149&lt;0,NA(),(F149-B149)/1000000)</x:f>
        <x:v>0.138147</x:v>
      </x:c>
      <x:c r="L149" s="39" t="n">
        <x:f>IF(C149&lt;0,1,IF(OR(G149=0,H149=0,I149=0,F149-B149&gt;100000000),1,0))</x:f>
        <x:v>0</x:v>
      </x:c>
      <x:c r="M149" s="39" t="n">
        <x:f>IF(C149&lt;0,1,0)</x:f>
        <x:v>0</x:v>
      </x:c>
      <x:c r="N149" s="1"/>
      <x:c r="O149" s="1"/>
      <x:c r="P149" s="1"/>
      <x:c r="Q149" s="1"/>
      <x:c r="R149" s="1"/>
    </x:row>
    <x:row r="150" ht="22" customHeight="1">
      <x:c r="A150" s="39" t="n">
        <x:v>104</x:v>
      </x:c>
      <x:c r="B150" s="39" t="n">
        <x:v>10400000000</x:v>
      </x:c>
      <x:c r="C150" s="39" t="n">
        <x:v>10400058237</x:v>
      </x:c>
      <x:c r="D150" s="39" t="n">
        <x:v>10400098975</x:v>
      </x:c>
      <x:c r="E150" s="39" t="n">
        <x:v>10400133935</x:v>
      </x:c>
      <x:c r="F150" s="39" t="n">
        <x:v>10400145545</x:v>
      </x:c>
      <x:c r="G150" s="39" t="n">
        <x:v>1</x:v>
      </x:c>
      <x:c r="H150" s="39" t="n">
        <x:v>1</x:v>
      </x:c>
      <x:c r="I150" s="39" t="n">
        <x:v>1</x:v>
      </x:c>
      <x:c r="J150" s="40" t="n">
        <x:f>B150/1000000000</x:f>
        <x:v>10.4</x:v>
      </x:c>
      <x:c r="K150" s="41" t="n">
        <x:f>IF(C150&lt;0,NA(),(F150-B150)/1000000)</x:f>
        <x:v>0.145545</x:v>
      </x:c>
      <x:c r="L150" s="39" t="n">
        <x:f>IF(C150&lt;0,1,IF(OR(G150=0,H150=0,I150=0,F150-B150&gt;100000000),1,0))</x:f>
        <x:v>0</x:v>
      </x:c>
      <x:c r="M150" s="39" t="n">
        <x:f>IF(C150&lt;0,1,0)</x:f>
        <x:v>0</x:v>
      </x:c>
      <x:c r="N150" s="1"/>
      <x:c r="O150" s="1"/>
      <x:c r="P150" s="1"/>
      <x:c r="Q150" s="1"/>
      <x:c r="R150" s="1"/>
    </x:row>
    <x:row r="151" ht="22" customHeight="1">
      <x:c r="A151" s="39" t="n">
        <x:v>105</x:v>
      </x:c>
      <x:c r="B151" s="39" t="n">
        <x:v>10500000000</x:v>
      </x:c>
      <x:c r="C151" s="39" t="n">
        <x:v>10500058580</x:v>
      </x:c>
      <x:c r="D151" s="39" t="n">
        <x:v>10500100799</x:v>
      </x:c>
      <x:c r="E151" s="39" t="n">
        <x:v>10500137240</x:v>
      </x:c>
      <x:c r="F151" s="39" t="n">
        <x:v>10500147999</x:v>
      </x:c>
      <x:c r="G151" s="39" t="n">
        <x:v>1</x:v>
      </x:c>
      <x:c r="H151" s="39" t="n">
        <x:v>1</x:v>
      </x:c>
      <x:c r="I151" s="39" t="n">
        <x:v>1</x:v>
      </x:c>
      <x:c r="J151" s="40" t="n">
        <x:f>B151/1000000000</x:f>
        <x:v>10.5</x:v>
      </x:c>
      <x:c r="K151" s="41" t="n">
        <x:f>IF(C151&lt;0,NA(),(F151-B151)/1000000)</x:f>
        <x:v>0.147999</x:v>
      </x:c>
      <x:c r="L151" s="39" t="n">
        <x:f>IF(C151&lt;0,1,IF(OR(G151=0,H151=0,I151=0,F151-B151&gt;100000000),1,0))</x:f>
        <x:v>0</x:v>
      </x:c>
      <x:c r="M151" s="39" t="n">
        <x:f>IF(C151&lt;0,1,0)</x:f>
        <x:v>0</x:v>
      </x:c>
      <x:c r="N151" s="1"/>
      <x:c r="O151" s="1"/>
      <x:c r="P151" s="1"/>
      <x:c r="Q151" s="1"/>
      <x:c r="R151" s="1"/>
    </x:row>
    <x:row r="152" ht="22" customHeight="1">
      <x:c r="A152" s="39" t="n">
        <x:v>106</x:v>
      </x:c>
      <x:c r="B152" s="39" t="n">
        <x:v>10600000000</x:v>
      </x:c>
      <x:c r="C152" s="39" t="n">
        <x:v>10600061348</x:v>
      </x:c>
      <x:c r="D152" s="39" t="n">
        <x:v>10600112511</x:v>
      </x:c>
      <x:c r="E152" s="39" t="n">
        <x:v>10600151897</x:v>
      </x:c>
      <x:c r="F152" s="39" t="n">
        <x:v>10600162563</x:v>
      </x:c>
      <x:c r="G152" s="39" t="n">
        <x:v>1</x:v>
      </x:c>
      <x:c r="H152" s="39" t="n">
        <x:v>1</x:v>
      </x:c>
      <x:c r="I152" s="39" t="n">
        <x:v>1</x:v>
      </x:c>
      <x:c r="J152" s="40" t="n">
        <x:f>B152/1000000000</x:f>
        <x:v>10.6</x:v>
      </x:c>
      <x:c r="K152" s="41" t="n">
        <x:f>IF(C152&lt;0,NA(),(F152-B152)/1000000)</x:f>
        <x:v>0.162563</x:v>
      </x:c>
      <x:c r="L152" s="39" t="n">
        <x:f>IF(C152&lt;0,1,IF(OR(G152=0,H152=0,I152=0,F152-B152&gt;100000000),1,0))</x:f>
        <x:v>0</x:v>
      </x:c>
      <x:c r="M152" s="39" t="n">
        <x:f>IF(C152&lt;0,1,0)</x:f>
        <x:v>0</x:v>
      </x:c>
      <x:c r="N152" s="1"/>
      <x:c r="O152" s="1"/>
      <x:c r="P152" s="1"/>
      <x:c r="Q152" s="1"/>
      <x:c r="R152" s="1"/>
    </x:row>
    <x:row r="153" ht="22" customHeight="1">
      <x:c r="A153" s="39" t="n">
        <x:v>107</x:v>
      </x:c>
      <x:c r="B153" s="39" t="n">
        <x:v>10700000000</x:v>
      </x:c>
      <x:c r="C153" s="39" t="n">
        <x:v>10700096392</x:v>
      </x:c>
      <x:c r="D153" s="39" t="n">
        <x:v>10700199273</x:v>
      </x:c>
      <x:c r="E153" s="39" t="n">
        <x:v>10700268583</x:v>
      </x:c>
      <x:c r="F153" s="39" t="n">
        <x:v>10700282471</x:v>
      </x:c>
      <x:c r="G153" s="39" t="n">
        <x:v>1</x:v>
      </x:c>
      <x:c r="H153" s="39" t="n">
        <x:v>1</x:v>
      </x:c>
      <x:c r="I153" s="39" t="n">
        <x:v>1</x:v>
      </x:c>
      <x:c r="J153" s="40" t="n">
        <x:f>B153/1000000000</x:f>
        <x:v>10.7</x:v>
      </x:c>
      <x:c r="K153" s="41" t="n">
        <x:f>IF(C153&lt;0,NA(),(F153-B153)/1000000)</x:f>
        <x:v>0.282471</x:v>
      </x:c>
      <x:c r="L153" s="39" t="n">
        <x:f>IF(C153&lt;0,1,IF(OR(G153=0,H153=0,I153=0,F153-B153&gt;100000000),1,0))</x:f>
        <x:v>0</x:v>
      </x:c>
      <x:c r="M153" s="39" t="n">
        <x:f>IF(C153&lt;0,1,0)</x:f>
        <x:v>0</x:v>
      </x:c>
      <x:c r="N153" s="1"/>
      <x:c r="O153" s="1"/>
      <x:c r="P153" s="1"/>
      <x:c r="Q153" s="1"/>
      <x:c r="R153" s="1"/>
    </x:row>
    <x:row r="154" ht="22" customHeight="1">
      <x:c r="A154" s="39" t="n">
        <x:v>108</x:v>
      </x:c>
      <x:c r="B154" s="39" t="n">
        <x:v>10800000000</x:v>
      </x:c>
      <x:c r="C154" s="39" t="n">
        <x:v>10800061423</x:v>
      </x:c>
      <x:c r="D154" s="39" t="n">
        <x:v>10800095013</x:v>
      </x:c>
      <x:c r="E154" s="39" t="n">
        <x:v>10800129195</x:v>
      </x:c>
      <x:c r="F154" s="39" t="n">
        <x:v>10800141176</x:v>
      </x:c>
      <x:c r="G154" s="39" t="n">
        <x:v>1</x:v>
      </x:c>
      <x:c r="H154" s="39" t="n">
        <x:v>1</x:v>
      </x:c>
      <x:c r="I154" s="39" t="n">
        <x:v>1</x:v>
      </x:c>
      <x:c r="J154" s="40" t="n">
        <x:f>B154/1000000000</x:f>
        <x:v>10.8</x:v>
      </x:c>
      <x:c r="K154" s="41" t="n">
        <x:f>IF(C154&lt;0,NA(),(F154-B154)/1000000)</x:f>
        <x:v>0.141176</x:v>
      </x:c>
      <x:c r="L154" s="39" t="n">
        <x:f>IF(C154&lt;0,1,IF(OR(G154=0,H154=0,I154=0,F154-B154&gt;100000000),1,0))</x:f>
        <x:v>0</x:v>
      </x:c>
      <x:c r="M154" s="39" t="n">
        <x:f>IF(C154&lt;0,1,0)</x:f>
        <x:v>0</x:v>
      </x:c>
      <x:c r="N154" s="1"/>
      <x:c r="O154" s="1"/>
      <x:c r="P154" s="1"/>
      <x:c r="Q154" s="1"/>
      <x:c r="R154" s="1"/>
    </x:row>
    <x:row r="155" ht="22" customHeight="1">
      <x:c r="A155" s="39" t="n">
        <x:v>109</x:v>
      </x:c>
      <x:c r="B155" s="39" t="n">
        <x:v>10900000000</x:v>
      </x:c>
      <x:c r="C155" s="39" t="n">
        <x:v>10900064777</x:v>
      </x:c>
      <x:c r="D155" s="39" t="n">
        <x:v>10900114218</x:v>
      </x:c>
      <x:c r="E155" s="39" t="n">
        <x:v>10900156401</x:v>
      </x:c>
      <x:c r="F155" s="39" t="n">
        <x:v>10900168918</x:v>
      </x:c>
      <x:c r="G155" s="39" t="n">
        <x:v>1</x:v>
      </x:c>
      <x:c r="H155" s="39" t="n">
        <x:v>1</x:v>
      </x:c>
      <x:c r="I155" s="39" t="n">
        <x:v>1</x:v>
      </x:c>
      <x:c r="J155" s="40" t="n">
        <x:f>B155/1000000000</x:f>
        <x:v>10.9</x:v>
      </x:c>
      <x:c r="K155" s="41" t="n">
        <x:f>IF(C155&lt;0,NA(),(F155-B155)/1000000)</x:f>
        <x:v>0.168918</x:v>
      </x:c>
      <x:c r="L155" s="39" t="n">
        <x:f>IF(C155&lt;0,1,IF(OR(G155=0,H155=0,I155=0,F155-B155&gt;100000000),1,0))</x:f>
        <x:v>0</x:v>
      </x:c>
      <x:c r="M155" s="39" t="n">
        <x:f>IF(C155&lt;0,1,0)</x:f>
        <x:v>0</x:v>
      </x:c>
      <x:c r="N155" s="1"/>
      <x:c r="O155" s="1"/>
      <x:c r="P155" s="1"/>
      <x:c r="Q155" s="1"/>
      <x:c r="R155" s="1"/>
    </x:row>
    <x:row r="156" ht="22" customHeight="1">
      <x:c r="A156" s="39" t="n">
        <x:v>110</x:v>
      </x:c>
      <x:c r="B156" s="39" t="n">
        <x:v>11000000000</x:v>
      </x:c>
      <x:c r="C156" s="39" t="n">
        <x:v>11000057641</x:v>
      </x:c>
      <x:c r="D156" s="39" t="n">
        <x:v>11000087250</x:v>
      </x:c>
      <x:c r="E156" s="39" t="n">
        <x:v>11000115563</x:v>
      </x:c>
      <x:c r="F156" s="39" t="n">
        <x:v>11000126525</x:v>
      </x:c>
      <x:c r="G156" s="39" t="n">
        <x:v>1</x:v>
      </x:c>
      <x:c r="H156" s="39" t="n">
        <x:v>1</x:v>
      </x:c>
      <x:c r="I156" s="39" t="n">
        <x:v>1</x:v>
      </x:c>
      <x:c r="J156" s="40" t="n">
        <x:f>B156/1000000000</x:f>
        <x:v>11</x:v>
      </x:c>
      <x:c r="K156" s="41" t="n">
        <x:f>IF(C156&lt;0,NA(),(F156-B156)/1000000)</x:f>
        <x:v>0.126525</x:v>
      </x:c>
      <x:c r="L156" s="39" t="n">
        <x:f>IF(C156&lt;0,1,IF(OR(G156=0,H156=0,I156=0,F156-B156&gt;100000000),1,0))</x:f>
        <x:v>0</x:v>
      </x:c>
      <x:c r="M156" s="39" t="n">
        <x:f>IF(C156&lt;0,1,0)</x:f>
        <x:v>0</x:v>
      </x:c>
      <x:c r="N156" s="1"/>
      <x:c r="O156" s="1"/>
      <x:c r="P156" s="1"/>
      <x:c r="Q156" s="1"/>
      <x:c r="R156" s="1"/>
    </x:row>
    <x:row r="157" ht="22" customHeight="1">
      <x:c r="A157" s="39" t="n">
        <x:v>111</x:v>
      </x:c>
      <x:c r="B157" s="39" t="n">
        <x:v>11100000000</x:v>
      </x:c>
      <x:c r="C157" s="39" t="n">
        <x:v>11100065744</x:v>
      </x:c>
      <x:c r="D157" s="39" t="n">
        <x:v>11100137387</x:v>
      </x:c>
      <x:c r="E157" s="39" t="n">
        <x:v>11100213752</x:v>
      </x:c>
      <x:c r="F157" s="39" t="n">
        <x:v>11100226436</x:v>
      </x:c>
      <x:c r="G157" s="39" t="n">
        <x:v>1</x:v>
      </x:c>
      <x:c r="H157" s="39" t="n">
        <x:v>1</x:v>
      </x:c>
      <x:c r="I157" s="39" t="n">
        <x:v>1</x:v>
      </x:c>
      <x:c r="J157" s="40" t="n">
        <x:f>B157/1000000000</x:f>
        <x:v>11.1</x:v>
      </x:c>
      <x:c r="K157" s="41" t="n">
        <x:f>IF(C157&lt;0,NA(),(F157-B157)/1000000)</x:f>
        <x:v>0.226436</x:v>
      </x:c>
      <x:c r="L157" s="39" t="n">
        <x:f>IF(C157&lt;0,1,IF(OR(G157=0,H157=0,I157=0,F157-B157&gt;100000000),1,0))</x:f>
        <x:v>0</x:v>
      </x:c>
      <x:c r="M157" s="39" t="n">
        <x:f>IF(C157&lt;0,1,0)</x:f>
        <x:v>0</x:v>
      </x:c>
      <x:c r="N157" s="1"/>
      <x:c r="O157" s="1"/>
      <x:c r="P157" s="1"/>
      <x:c r="Q157" s="1"/>
      <x:c r="R157" s="1"/>
    </x:row>
    <x:row r="158" ht="22" customHeight="1">
      <x:c r="A158" s="39" t="n">
        <x:v>112</x:v>
      </x:c>
      <x:c r="B158" s="39" t="n">
        <x:v>11200000000</x:v>
      </x:c>
      <x:c r="C158" s="39" t="n">
        <x:v>11200060681</x:v>
      </x:c>
      <x:c r="D158" s="39" t="n">
        <x:v>11200116788</x:v>
      </x:c>
      <x:c r="E158" s="39" t="n">
        <x:v>11200156711</x:v>
      </x:c>
      <x:c r="F158" s="39" t="n">
        <x:v>11200169248</x:v>
      </x:c>
      <x:c r="G158" s="39" t="n">
        <x:v>1</x:v>
      </x:c>
      <x:c r="H158" s="39" t="n">
        <x:v>1</x:v>
      </x:c>
      <x:c r="I158" s="39" t="n">
        <x:v>1</x:v>
      </x:c>
      <x:c r="J158" s="40" t="n">
        <x:f>B158/1000000000</x:f>
        <x:v>11.2</x:v>
      </x:c>
      <x:c r="K158" s="41" t="n">
        <x:f>IF(C158&lt;0,NA(),(F158-B158)/1000000)</x:f>
        <x:v>0.169248</x:v>
      </x:c>
      <x:c r="L158" s="39" t="n">
        <x:f>IF(C158&lt;0,1,IF(OR(G158=0,H158=0,I158=0,F158-B158&gt;100000000),1,0))</x:f>
        <x:v>0</x:v>
      </x:c>
      <x:c r="M158" s="39" t="n">
        <x:f>IF(C158&lt;0,1,0)</x:f>
        <x:v>0</x:v>
      </x:c>
      <x:c r="N158" s="1"/>
      <x:c r="O158" s="1"/>
      <x:c r="P158" s="1"/>
      <x:c r="Q158" s="1"/>
      <x:c r="R158" s="1"/>
    </x:row>
    <x:row r="159" ht="22" customHeight="1">
      <x:c r="A159" s="39" t="n">
        <x:v>113</x:v>
      </x:c>
      <x:c r="B159" s="39" t="n">
        <x:v>11300000000</x:v>
      </x:c>
      <x:c r="C159" s="39" t="n">
        <x:v>11300061526</x:v>
      </x:c>
      <x:c r="D159" s="39" t="n">
        <x:v>11300116336</x:v>
      </x:c>
      <x:c r="E159" s="39" t="n">
        <x:v>11300157445</x:v>
      </x:c>
      <x:c r="F159" s="39" t="n">
        <x:v>11300170055</x:v>
      </x:c>
      <x:c r="G159" s="39" t="n">
        <x:v>1</x:v>
      </x:c>
      <x:c r="H159" s="39" t="n">
        <x:v>1</x:v>
      </x:c>
      <x:c r="I159" s="39" t="n">
        <x:v>1</x:v>
      </x:c>
      <x:c r="J159" s="40" t="n">
        <x:f>B159/1000000000</x:f>
        <x:v>11.3</x:v>
      </x:c>
      <x:c r="K159" s="41" t="n">
        <x:f>IF(C159&lt;0,NA(),(F159-B159)/1000000)</x:f>
        <x:v>0.170055</x:v>
      </x:c>
      <x:c r="L159" s="39" t="n">
        <x:f>IF(C159&lt;0,1,IF(OR(G159=0,H159=0,I159=0,F159-B159&gt;100000000),1,0))</x:f>
        <x:v>0</x:v>
      </x:c>
      <x:c r="M159" s="39" t="n">
        <x:f>IF(C159&lt;0,1,0)</x:f>
        <x:v>0</x:v>
      </x:c>
      <x:c r="N159" s="1"/>
      <x:c r="O159" s="1"/>
      <x:c r="P159" s="1"/>
      <x:c r="Q159" s="1"/>
      <x:c r="R159" s="1"/>
    </x:row>
    <x:row r="160" ht="22" customHeight="1">
      <x:c r="A160" s="39" t="n">
        <x:v>114</x:v>
      </x:c>
      <x:c r="B160" s="39" t="n">
        <x:v>11400000000</x:v>
      </x:c>
      <x:c r="C160" s="39" t="n">
        <x:v>11400061777</x:v>
      </x:c>
      <x:c r="D160" s="39" t="n">
        <x:v>11400117922</x:v>
      </x:c>
      <x:c r="E160" s="39" t="n">
        <x:v>11400158530</x:v>
      </x:c>
      <x:c r="F160" s="39" t="n">
        <x:v>11400171177</x:v>
      </x:c>
      <x:c r="G160" s="39" t="n">
        <x:v>1</x:v>
      </x:c>
      <x:c r="H160" s="39" t="n">
        <x:v>1</x:v>
      </x:c>
      <x:c r="I160" s="39" t="n">
        <x:v>1</x:v>
      </x:c>
      <x:c r="J160" s="40" t="n">
        <x:f>B160/1000000000</x:f>
        <x:v>11.4</x:v>
      </x:c>
      <x:c r="K160" s="41" t="n">
        <x:f>IF(C160&lt;0,NA(),(F160-B160)/1000000)</x:f>
        <x:v>0.171177</x:v>
      </x:c>
      <x:c r="L160" s="39" t="n">
        <x:f>IF(C160&lt;0,1,IF(OR(G160=0,H160=0,I160=0,F160-B160&gt;100000000),1,0))</x:f>
        <x:v>0</x:v>
      </x:c>
      <x:c r="M160" s="39" t="n">
        <x:f>IF(C160&lt;0,1,0)</x:f>
        <x:v>0</x:v>
      </x:c>
      <x:c r="N160" s="1"/>
      <x:c r="O160" s="1"/>
      <x:c r="P160" s="1"/>
      <x:c r="Q160" s="1"/>
      <x:c r="R160" s="1"/>
    </x:row>
    <x:row r="161" ht="22" customHeight="1">
      <x:c r="A161" s="39" t="n">
        <x:v>115</x:v>
      </x:c>
      <x:c r="B161" s="39" t="n">
        <x:v>11500000000</x:v>
      </x:c>
      <x:c r="C161" s="39" t="n">
        <x:v>11500060548</x:v>
      </x:c>
      <x:c r="D161" s="39" t="n">
        <x:v>11500109396</x:v>
      </x:c>
      <x:c r="E161" s="39" t="n">
        <x:v>11500149449</x:v>
      </x:c>
      <x:c r="F161" s="39" t="n">
        <x:v>11500160744</x:v>
      </x:c>
      <x:c r="G161" s="39" t="n">
        <x:v>1</x:v>
      </x:c>
      <x:c r="H161" s="39" t="n">
        <x:v>1</x:v>
      </x:c>
      <x:c r="I161" s="39" t="n">
        <x:v>1</x:v>
      </x:c>
      <x:c r="J161" s="40" t="n">
        <x:f>B161/1000000000</x:f>
        <x:v>11.5</x:v>
      </x:c>
      <x:c r="K161" s="41" t="n">
        <x:f>IF(C161&lt;0,NA(),(F161-B161)/1000000)</x:f>
        <x:v>0.160744</x:v>
      </x:c>
      <x:c r="L161" s="39" t="n">
        <x:f>IF(C161&lt;0,1,IF(OR(G161=0,H161=0,I161=0,F161-B161&gt;100000000),1,0))</x:f>
        <x:v>0</x:v>
      </x:c>
      <x:c r="M161" s="39" t="n">
        <x:f>IF(C161&lt;0,1,0)</x:f>
        <x:v>0</x:v>
      </x:c>
      <x:c r="N161" s="1"/>
      <x:c r="O161" s="1"/>
      <x:c r="P161" s="1"/>
      <x:c r="Q161" s="1"/>
      <x:c r="R161" s="1"/>
    </x:row>
    <x:row r="162" ht="22" customHeight="1">
      <x:c r="A162" s="39" t="n">
        <x:v>116</x:v>
      </x:c>
      <x:c r="B162" s="39" t="n">
        <x:v>11600000000</x:v>
      </x:c>
      <x:c r="C162" s="39" t="n">
        <x:v>11600066966</x:v>
      </x:c>
      <x:c r="D162" s="39" t="n">
        <x:v>11600120073</x:v>
      </x:c>
      <x:c r="E162" s="39" t="n">
        <x:v>11600160755</x:v>
      </x:c>
      <x:c r="F162" s="39" t="n">
        <x:v>11600171440</x:v>
      </x:c>
      <x:c r="G162" s="39" t="n">
        <x:v>1</x:v>
      </x:c>
      <x:c r="H162" s="39" t="n">
        <x:v>1</x:v>
      </x:c>
      <x:c r="I162" s="39" t="n">
        <x:v>1</x:v>
      </x:c>
      <x:c r="J162" s="40" t="n">
        <x:f>B162/1000000000</x:f>
        <x:v>11.6</x:v>
      </x:c>
      <x:c r="K162" s="41" t="n">
        <x:f>IF(C162&lt;0,NA(),(F162-B162)/1000000)</x:f>
        <x:v>0.17144</x:v>
      </x:c>
      <x:c r="L162" s="39" t="n">
        <x:f>IF(C162&lt;0,1,IF(OR(G162=0,H162=0,I162=0,F162-B162&gt;100000000),1,0))</x:f>
        <x:v>0</x:v>
      </x:c>
      <x:c r="M162" s="39" t="n">
        <x:f>IF(C162&lt;0,1,0)</x:f>
        <x:v>0</x:v>
      </x:c>
      <x:c r="N162" s="1"/>
      <x:c r="O162" s="1"/>
      <x:c r="P162" s="1"/>
      <x:c r="Q162" s="1"/>
      <x:c r="R162" s="1"/>
    </x:row>
    <x:row r="163" ht="22" customHeight="1">
      <x:c r="A163" s="39" t="n">
        <x:v>117</x:v>
      </x:c>
      <x:c r="B163" s="39" t="n">
        <x:v>11700000000</x:v>
      </x:c>
      <x:c r="C163" s="39" t="n">
        <x:v>11700062255</x:v>
      </x:c>
      <x:c r="D163" s="39" t="n">
        <x:v>11700114918</x:v>
      </x:c>
      <x:c r="E163" s="39" t="n">
        <x:v>11700159248</x:v>
      </x:c>
      <x:c r="F163" s="39" t="n">
        <x:v>11700170562</x:v>
      </x:c>
      <x:c r="G163" s="39" t="n">
        <x:v>1</x:v>
      </x:c>
      <x:c r="H163" s="39" t="n">
        <x:v>1</x:v>
      </x:c>
      <x:c r="I163" s="39" t="n">
        <x:v>1</x:v>
      </x:c>
      <x:c r="J163" s="40" t="n">
        <x:f>B163/1000000000</x:f>
        <x:v>11.7</x:v>
      </x:c>
      <x:c r="K163" s="41" t="n">
        <x:f>IF(C163&lt;0,NA(),(F163-B163)/1000000)</x:f>
        <x:v>0.170562</x:v>
      </x:c>
      <x:c r="L163" s="39" t="n">
        <x:f>IF(C163&lt;0,1,IF(OR(G163=0,H163=0,I163=0,F163-B163&gt;100000000),1,0))</x:f>
        <x:v>0</x:v>
      </x:c>
      <x:c r="M163" s="39" t="n">
        <x:f>IF(C163&lt;0,1,0)</x:f>
        <x:v>0</x:v>
      </x:c>
      <x:c r="N163" s="1"/>
      <x:c r="O163" s="1"/>
      <x:c r="P163" s="1"/>
      <x:c r="Q163" s="1"/>
      <x:c r="R163" s="1"/>
    </x:row>
    <x:row r="164" ht="22" customHeight="1">
      <x:c r="A164" s="39" t="n">
        <x:v>118</x:v>
      </x:c>
      <x:c r="B164" s="39" t="n">
        <x:v>11800000000</x:v>
      </x:c>
      <x:c r="C164" s="39" t="n">
        <x:v>11800056822</x:v>
      </x:c>
      <x:c r="D164" s="39" t="n">
        <x:v>11800093097</x:v>
      </x:c>
      <x:c r="E164" s="39" t="n">
        <x:v>11800124502</x:v>
      </x:c>
      <x:c r="F164" s="39" t="n">
        <x:v>11800135779</x:v>
      </x:c>
      <x:c r="G164" s="39" t="n">
        <x:v>1</x:v>
      </x:c>
      <x:c r="H164" s="39" t="n">
        <x:v>1</x:v>
      </x:c>
      <x:c r="I164" s="39" t="n">
        <x:v>1</x:v>
      </x:c>
      <x:c r="J164" s="40" t="n">
        <x:f>B164/1000000000</x:f>
        <x:v>11.8</x:v>
      </x:c>
      <x:c r="K164" s="41" t="n">
        <x:f>IF(C164&lt;0,NA(),(F164-B164)/1000000)</x:f>
        <x:v>0.135779</x:v>
      </x:c>
      <x:c r="L164" s="39" t="n">
        <x:f>IF(C164&lt;0,1,IF(OR(G164=0,H164=0,I164=0,F164-B164&gt;100000000),1,0))</x:f>
        <x:v>0</x:v>
      </x:c>
      <x:c r="M164" s="39" t="n">
        <x:f>IF(C164&lt;0,1,0)</x:f>
        <x:v>0</x:v>
      </x:c>
      <x:c r="N164" s="1"/>
      <x:c r="O164" s="1"/>
      <x:c r="P164" s="1"/>
      <x:c r="Q164" s="1"/>
      <x:c r="R164" s="1"/>
    </x:row>
    <x:row r="165" ht="22" customHeight="1">
      <x:c r="A165" s="39" t="n">
        <x:v>119</x:v>
      </x:c>
      <x:c r="B165" s="39" t="n">
        <x:v>11900000000</x:v>
      </x:c>
      <x:c r="C165" s="39" t="n">
        <x:v>11900061706</x:v>
      </x:c>
      <x:c r="D165" s="39" t="n">
        <x:v>11900110055</x:v>
      </x:c>
      <x:c r="E165" s="39" t="n">
        <x:v>11900147515</x:v>
      </x:c>
      <x:c r="F165" s="39" t="n">
        <x:v>11900158126</x:v>
      </x:c>
      <x:c r="G165" s="39" t="n">
        <x:v>1</x:v>
      </x:c>
      <x:c r="H165" s="39" t="n">
        <x:v>1</x:v>
      </x:c>
      <x:c r="I165" s="39" t="n">
        <x:v>1</x:v>
      </x:c>
      <x:c r="J165" s="40" t="n">
        <x:f>B165/1000000000</x:f>
        <x:v>11.9</x:v>
      </x:c>
      <x:c r="K165" s="41" t="n">
        <x:f>IF(C165&lt;0,NA(),(F165-B165)/1000000)</x:f>
        <x:v>0.158126</x:v>
      </x:c>
      <x:c r="L165" s="39" t="n">
        <x:f>IF(C165&lt;0,1,IF(OR(G165=0,H165=0,I165=0,F165-B165&gt;100000000),1,0))</x:f>
        <x:v>0</x:v>
      </x:c>
      <x:c r="M165" s="39" t="n">
        <x:f>IF(C165&lt;0,1,0)</x:f>
        <x:v>0</x:v>
      </x:c>
      <x:c r="N165" s="1"/>
      <x:c r="O165" s="1"/>
      <x:c r="P165" s="1"/>
      <x:c r="Q165" s="1"/>
      <x:c r="R165" s="1"/>
    </x:row>
    <x:row r="166" ht="22" customHeight="1">
      <x:c r="A166" s="39" t="n">
        <x:v>120</x:v>
      </x:c>
      <x:c r="B166" s="39" t="n">
        <x:v>12000000000</x:v>
      </x:c>
      <x:c r="C166" s="39" t="n">
        <x:v>12000059861</x:v>
      </x:c>
      <x:c r="D166" s="39" t="n">
        <x:v>12000107414</x:v>
      </x:c>
      <x:c r="E166" s="39" t="n">
        <x:v>12000144115</x:v>
      </x:c>
      <x:c r="F166" s="39" t="n">
        <x:v>12000154892</x:v>
      </x:c>
      <x:c r="G166" s="39" t="n">
        <x:v>1</x:v>
      </x:c>
      <x:c r="H166" s="39" t="n">
        <x:v>1</x:v>
      </x:c>
      <x:c r="I166" s="39" t="n">
        <x:v>1</x:v>
      </x:c>
      <x:c r="J166" s="40" t="n">
        <x:f>B166/1000000000</x:f>
        <x:v>12</x:v>
      </x:c>
      <x:c r="K166" s="41" t="n">
        <x:f>IF(C166&lt;0,NA(),(F166-B166)/1000000)</x:f>
        <x:v>0.154892</x:v>
      </x:c>
      <x:c r="L166" s="39" t="n">
        <x:f>IF(C166&lt;0,1,IF(OR(G166=0,H166=0,I166=0,F166-B166&gt;100000000),1,0))</x:f>
        <x:v>0</x:v>
      </x:c>
      <x:c r="M166" s="39" t="n">
        <x:f>IF(C166&lt;0,1,0)</x:f>
        <x:v>0</x:v>
      </x:c>
      <x:c r="N166" s="1"/>
      <x:c r="O166" s="1"/>
      <x:c r="P166" s="1"/>
      <x:c r="Q166" s="1"/>
      <x:c r="R166" s="1"/>
    </x:row>
    <x:row r="167" ht="22" customHeight="1">
      <x:c r="A167" s="39" t="n">
        <x:v>121</x:v>
      </x:c>
      <x:c r="B167" s="39" t="n">
        <x:v>12100000000</x:v>
      </x:c>
      <x:c r="C167" s="39" t="n">
        <x:v>12100059127</x:v>
      </x:c>
      <x:c r="D167" s="39" t="n">
        <x:v>12100104513</x:v>
      </x:c>
      <x:c r="E167" s="39" t="n">
        <x:v>12100141752</x:v>
      </x:c>
      <x:c r="F167" s="39" t="n">
        <x:v>12100152677</x:v>
      </x:c>
      <x:c r="G167" s="39" t="n">
        <x:v>1</x:v>
      </x:c>
      <x:c r="H167" s="39" t="n">
        <x:v>1</x:v>
      </x:c>
      <x:c r="I167" s="39" t="n">
        <x:v>1</x:v>
      </x:c>
      <x:c r="J167" s="40" t="n">
        <x:f>B167/1000000000</x:f>
        <x:v>12.1</x:v>
      </x:c>
      <x:c r="K167" s="41" t="n">
        <x:f>IF(C167&lt;0,NA(),(F167-B167)/1000000)</x:f>
        <x:v>0.152677</x:v>
      </x:c>
      <x:c r="L167" s="39" t="n">
        <x:f>IF(C167&lt;0,1,IF(OR(G167=0,H167=0,I167=0,F167-B167&gt;100000000),1,0))</x:f>
        <x:v>0</x:v>
      </x:c>
      <x:c r="M167" s="39" t="n">
        <x:f>IF(C167&lt;0,1,0)</x:f>
        <x:v>0</x:v>
      </x:c>
      <x:c r="N167" s="1"/>
      <x:c r="O167" s="1"/>
      <x:c r="P167" s="1"/>
      <x:c r="Q167" s="1"/>
      <x:c r="R167" s="1"/>
    </x:row>
    <x:row r="168" ht="22" customHeight="1">
      <x:c r="A168" s="39" t="n">
        <x:v>122</x:v>
      </x:c>
      <x:c r="B168" s="39" t="n">
        <x:v>12200000000</x:v>
      </x:c>
      <x:c r="C168" s="39" t="n">
        <x:v>12200058616</x:v>
      </x:c>
      <x:c r="D168" s="39" t="n">
        <x:v>12200102965</x:v>
      </x:c>
      <x:c r="E168" s="39" t="n">
        <x:v>12200137148</x:v>
      </x:c>
      <x:c r="F168" s="39" t="n">
        <x:v>12200148054</x:v>
      </x:c>
      <x:c r="G168" s="39" t="n">
        <x:v>1</x:v>
      </x:c>
      <x:c r="H168" s="39" t="n">
        <x:v>1</x:v>
      </x:c>
      <x:c r="I168" s="39" t="n">
        <x:v>1</x:v>
      </x:c>
      <x:c r="J168" s="40" t="n">
        <x:f>B168/1000000000</x:f>
        <x:v>12.2</x:v>
      </x:c>
      <x:c r="K168" s="41" t="n">
        <x:f>IF(C168&lt;0,NA(),(F168-B168)/1000000)</x:f>
        <x:v>0.148054</x:v>
      </x:c>
      <x:c r="L168" s="39" t="n">
        <x:f>IF(C168&lt;0,1,IF(OR(G168=0,H168=0,I168=0,F168-B168&gt;100000000),1,0))</x:f>
        <x:v>0</x:v>
      </x:c>
      <x:c r="M168" s="39" t="n">
        <x:f>IF(C168&lt;0,1,0)</x:f>
        <x:v>0</x:v>
      </x:c>
      <x:c r="N168" s="1"/>
      <x:c r="O168" s="1"/>
      <x:c r="P168" s="1"/>
      <x:c r="Q168" s="1"/>
      <x:c r="R168" s="1"/>
    </x:row>
    <x:row r="169" ht="22" customHeight="1">
      <x:c r="A169" s="39" t="n">
        <x:v>123</x:v>
      </x:c>
      <x:c r="B169" s="39" t="n">
        <x:v>12300000000</x:v>
      </x:c>
      <x:c r="C169" s="39" t="n">
        <x:v>12300061159</x:v>
      </x:c>
      <x:c r="D169" s="39" t="n">
        <x:v>12300105971</x:v>
      </x:c>
      <x:c r="E169" s="39" t="n">
        <x:v>12300142691</x:v>
      </x:c>
      <x:c r="F169" s="39" t="n">
        <x:v>12300153672</x:v>
      </x:c>
      <x:c r="G169" s="39" t="n">
        <x:v>1</x:v>
      </x:c>
      <x:c r="H169" s="39" t="n">
        <x:v>1</x:v>
      </x:c>
      <x:c r="I169" s="39" t="n">
        <x:v>1</x:v>
      </x:c>
      <x:c r="J169" s="40" t="n">
        <x:f>B169/1000000000</x:f>
        <x:v>12.3</x:v>
      </x:c>
      <x:c r="K169" s="41" t="n">
        <x:f>IF(C169&lt;0,NA(),(F169-B169)/1000000)</x:f>
        <x:v>0.153672</x:v>
      </x:c>
      <x:c r="L169" s="39" t="n">
        <x:f>IF(C169&lt;0,1,IF(OR(G169=0,H169=0,I169=0,F169-B169&gt;100000000),1,0))</x:f>
        <x:v>0</x:v>
      </x:c>
      <x:c r="M169" s="39" t="n">
        <x:f>IF(C169&lt;0,1,0)</x:f>
        <x:v>0</x:v>
      </x:c>
      <x:c r="N169" s="1"/>
      <x:c r="O169" s="1"/>
      <x:c r="P169" s="1"/>
      <x:c r="Q169" s="1"/>
      <x:c r="R169" s="1"/>
    </x:row>
    <x:row r="170" ht="22" customHeight="1">
      <x:c r="A170" s="39" t="n">
        <x:v>124</x:v>
      </x:c>
      <x:c r="B170" s="39" t="n">
        <x:v>12400000000</x:v>
      </x:c>
      <x:c r="C170" s="39" t="n">
        <x:v>12400059389</x:v>
      </x:c>
      <x:c r="D170" s="39" t="n">
        <x:v>12400108533</x:v>
      </x:c>
      <x:c r="E170" s="39" t="n">
        <x:v>12400145272</x:v>
      </x:c>
      <x:c r="F170" s="39" t="n">
        <x:v>12400156604</x:v>
      </x:c>
      <x:c r="G170" s="39" t="n">
        <x:v>1</x:v>
      </x:c>
      <x:c r="H170" s="39" t="n">
        <x:v>1</x:v>
      </x:c>
      <x:c r="I170" s="39" t="n">
        <x:v>1</x:v>
      </x:c>
      <x:c r="J170" s="40" t="n">
        <x:f>B170/1000000000</x:f>
        <x:v>12.4</x:v>
      </x:c>
      <x:c r="K170" s="41" t="n">
        <x:f>IF(C170&lt;0,NA(),(F170-B170)/1000000)</x:f>
        <x:v>0.156604</x:v>
      </x:c>
      <x:c r="L170" s="39" t="n">
        <x:f>IF(C170&lt;0,1,IF(OR(G170=0,H170=0,I170=0,F170-B170&gt;100000000),1,0))</x:f>
        <x:v>0</x:v>
      </x:c>
      <x:c r="M170" s="39" t="n">
        <x:f>IF(C170&lt;0,1,0)</x:f>
        <x:v>0</x:v>
      </x:c>
      <x:c r="N170" s="1"/>
      <x:c r="O170" s="1"/>
      <x:c r="P170" s="1"/>
      <x:c r="Q170" s="1"/>
      <x:c r="R170" s="1"/>
    </x:row>
    <x:row r="171" ht="22" customHeight="1">
      <x:c r="A171" s="39" t="n">
        <x:v>125</x:v>
      </x:c>
      <x:c r="B171" s="39" t="n">
        <x:v>12500000000</x:v>
      </x:c>
      <x:c r="C171" s="39" t="n">
        <x:v>12500059340</x:v>
      </x:c>
      <x:c r="D171" s="39" t="n">
        <x:v>12500103596</x:v>
      </x:c>
      <x:c r="E171" s="39" t="n">
        <x:v>12500141112</x:v>
      </x:c>
      <x:c r="F171" s="39" t="n">
        <x:v>12500152445</x:v>
      </x:c>
      <x:c r="G171" s="39" t="n">
        <x:v>1</x:v>
      </x:c>
      <x:c r="H171" s="39" t="n">
        <x:v>1</x:v>
      </x:c>
      <x:c r="I171" s="39" t="n">
        <x:v>1</x:v>
      </x:c>
      <x:c r="J171" s="40" t="n">
        <x:f>B171/1000000000</x:f>
        <x:v>12.5</x:v>
      </x:c>
      <x:c r="K171" s="41" t="n">
        <x:f>IF(C171&lt;0,NA(),(F171-B171)/1000000)</x:f>
        <x:v>0.152445</x:v>
      </x:c>
      <x:c r="L171" s="39" t="n">
        <x:f>IF(C171&lt;0,1,IF(OR(G171=0,H171=0,I171=0,F171-B171&gt;100000000),1,0))</x:f>
        <x:v>0</x:v>
      </x:c>
      <x:c r="M171" s="39" t="n">
        <x:f>IF(C171&lt;0,1,0)</x:f>
        <x:v>0</x:v>
      </x:c>
      <x:c r="N171" s="1"/>
      <x:c r="O171" s="1"/>
      <x:c r="P171" s="1"/>
      <x:c r="Q171" s="1"/>
      <x:c r="R171" s="1"/>
    </x:row>
    <x:row r="172" ht="22" customHeight="1">
      <x:c r="A172" s="39" t="n">
        <x:v>126</x:v>
      </x:c>
      <x:c r="B172" s="39" t="n">
        <x:v>12600000000</x:v>
      </x:c>
      <x:c r="C172" s="39" t="n">
        <x:v>12600060161</x:v>
      </x:c>
      <x:c r="D172" s="39" t="n">
        <x:v>12600109528</x:v>
      </x:c>
      <x:c r="E172" s="39" t="n">
        <x:v>12600145674</x:v>
      </x:c>
      <x:c r="F172" s="39" t="n">
        <x:v>12600156822</x:v>
      </x:c>
      <x:c r="G172" s="39" t="n">
        <x:v>1</x:v>
      </x:c>
      <x:c r="H172" s="39" t="n">
        <x:v>1</x:v>
      </x:c>
      <x:c r="I172" s="39" t="n">
        <x:v>1</x:v>
      </x:c>
      <x:c r="J172" s="40" t="n">
        <x:f>B172/1000000000</x:f>
        <x:v>12.6</x:v>
      </x:c>
      <x:c r="K172" s="41" t="n">
        <x:f>IF(C172&lt;0,NA(),(F172-B172)/1000000)</x:f>
        <x:v>0.156822</x:v>
      </x:c>
      <x:c r="L172" s="39" t="n">
        <x:f>IF(C172&lt;0,1,IF(OR(G172=0,H172=0,I172=0,F172-B172&gt;100000000),1,0))</x:f>
        <x:v>0</x:v>
      </x:c>
      <x:c r="M172" s="39" t="n">
        <x:f>IF(C172&lt;0,1,0)</x:f>
        <x:v>0</x:v>
      </x:c>
      <x:c r="N172" s="1"/>
      <x:c r="O172" s="1"/>
      <x:c r="P172" s="1"/>
      <x:c r="Q172" s="1"/>
      <x:c r="R172" s="1"/>
    </x:row>
    <x:row r="173" ht="22" customHeight="1">
      <x:c r="A173" s="39" t="n">
        <x:v>127</x:v>
      </x:c>
      <x:c r="B173" s="39" t="n">
        <x:v>12700000000</x:v>
      </x:c>
      <x:c r="C173" s="39" t="n">
        <x:v>12700059205</x:v>
      </x:c>
      <x:c r="D173" s="39" t="n">
        <x:v>12700101517</x:v>
      </x:c>
      <x:c r="E173" s="39" t="n">
        <x:v>12700136181</x:v>
      </x:c>
      <x:c r="F173" s="39" t="n">
        <x:v>12700147755</x:v>
      </x:c>
      <x:c r="G173" s="39" t="n">
        <x:v>1</x:v>
      </x:c>
      <x:c r="H173" s="39" t="n">
        <x:v>1</x:v>
      </x:c>
      <x:c r="I173" s="39" t="n">
        <x:v>1</x:v>
      </x:c>
      <x:c r="J173" s="40" t="n">
        <x:f>B173/1000000000</x:f>
        <x:v>12.7</x:v>
      </x:c>
      <x:c r="K173" s="41" t="n">
        <x:f>IF(C173&lt;0,NA(),(F173-B173)/1000000)</x:f>
        <x:v>0.147755</x:v>
      </x:c>
      <x:c r="L173" s="39" t="n">
        <x:f>IF(C173&lt;0,1,IF(OR(G173=0,H173=0,I173=0,F173-B173&gt;100000000),1,0))</x:f>
        <x:v>0</x:v>
      </x:c>
      <x:c r="M173" s="39" t="n">
        <x:f>IF(C173&lt;0,1,0)</x:f>
        <x:v>0</x:v>
      </x:c>
      <x:c r="N173" s="1"/>
      <x:c r="O173" s="1"/>
      <x:c r="P173" s="1"/>
      <x:c r="Q173" s="1"/>
      <x:c r="R173" s="1"/>
    </x:row>
    <x:row r="174" ht="22" customHeight="1">
      <x:c r="A174" s="39" t="n">
        <x:v>128</x:v>
      </x:c>
      <x:c r="B174" s="39" t="n">
        <x:v>12800000000</x:v>
      </x:c>
      <x:c r="C174" s="39" t="n">
        <x:v>12800058416</x:v>
      </x:c>
      <x:c r="D174" s="39" t="n">
        <x:v>12800109246</x:v>
      </x:c>
      <x:c r="E174" s="39" t="n">
        <x:v>12800149465</x:v>
      </x:c>
      <x:c r="F174" s="39" t="n">
        <x:v>12800159927</x:v>
      </x:c>
      <x:c r="G174" s="39" t="n">
        <x:v>1</x:v>
      </x:c>
      <x:c r="H174" s="39" t="n">
        <x:v>1</x:v>
      </x:c>
      <x:c r="I174" s="39" t="n">
        <x:v>1</x:v>
      </x:c>
      <x:c r="J174" s="40" t="n">
        <x:f>B174/1000000000</x:f>
        <x:v>12.8</x:v>
      </x:c>
      <x:c r="K174" s="41" t="n">
        <x:f>IF(C174&lt;0,NA(),(F174-B174)/1000000)</x:f>
        <x:v>0.159927</x:v>
      </x:c>
      <x:c r="L174" s="39" t="n">
        <x:f>IF(C174&lt;0,1,IF(OR(G174=0,H174=0,I174=0,F174-B174&gt;100000000),1,0))</x:f>
        <x:v>0</x:v>
      </x:c>
      <x:c r="M174" s="39" t="n">
        <x:f>IF(C174&lt;0,1,0)</x:f>
        <x:v>0</x:v>
      </x:c>
      <x:c r="N174" s="1"/>
      <x:c r="O174" s="1"/>
      <x:c r="P174" s="1"/>
      <x:c r="Q174" s="1"/>
      <x:c r="R174" s="1"/>
    </x:row>
    <x:row r="175" ht="22" customHeight="1">
      <x:c r="A175" s="39" t="n">
        <x:v>129</x:v>
      </x:c>
      <x:c r="B175" s="39" t="n">
        <x:v>12900000000</x:v>
      </x:c>
      <x:c r="C175" s="39" t="n">
        <x:v>12900060820</x:v>
      </x:c>
      <x:c r="D175" s="39" t="n">
        <x:v>12900104669</x:v>
      </x:c>
      <x:c r="E175" s="39" t="n">
        <x:v>12900140426</x:v>
      </x:c>
      <x:c r="F175" s="39" t="n">
        <x:v>12900151203</x:v>
      </x:c>
      <x:c r="G175" s="39" t="n">
        <x:v>1</x:v>
      </x:c>
      <x:c r="H175" s="39" t="n">
        <x:v>1</x:v>
      </x:c>
      <x:c r="I175" s="39" t="n">
        <x:v>1</x:v>
      </x:c>
      <x:c r="J175" s="40" t="n">
        <x:f>B175/1000000000</x:f>
        <x:v>12.9</x:v>
      </x:c>
      <x:c r="K175" s="41" t="n">
        <x:f>IF(C175&lt;0,NA(),(F175-B175)/1000000)</x:f>
        <x:v>0.151203</x:v>
      </x:c>
      <x:c r="L175" s="39" t="n">
        <x:f>IF(C175&lt;0,1,IF(OR(G175=0,H175=0,I175=0,F175-B175&gt;100000000),1,0))</x:f>
        <x:v>0</x:v>
      </x:c>
      <x:c r="M175" s="39" t="n">
        <x:f>IF(C175&lt;0,1,0)</x:f>
        <x:v>0</x:v>
      </x:c>
      <x:c r="N175" s="1"/>
      <x:c r="O175" s="1"/>
      <x:c r="P175" s="1"/>
      <x:c r="Q175" s="1"/>
      <x:c r="R175" s="1"/>
    </x:row>
    <x:row r="176" ht="22" customHeight="1">
      <x:c r="A176" s="39" t="n">
        <x:v>130</x:v>
      </x:c>
      <x:c r="B176" s="39" t="n">
        <x:v>13000000000</x:v>
      </x:c>
      <x:c r="C176" s="39" t="n">
        <x:v>13000057837</x:v>
      </x:c>
      <x:c r="D176" s="39" t="n">
        <x:v>13000096483</x:v>
      </x:c>
      <x:c r="E176" s="39" t="n">
        <x:v>13000130406</x:v>
      </x:c>
      <x:c r="F176" s="39" t="n">
        <x:v>13000141369</x:v>
      </x:c>
      <x:c r="G176" s="39" t="n">
        <x:v>1</x:v>
      </x:c>
      <x:c r="H176" s="39" t="n">
        <x:v>1</x:v>
      </x:c>
      <x:c r="I176" s="39" t="n">
        <x:v>1</x:v>
      </x:c>
      <x:c r="J176" s="40" t="n">
        <x:f>B176/1000000000</x:f>
        <x:v>13</x:v>
      </x:c>
      <x:c r="K176" s="41" t="n">
        <x:f>IF(C176&lt;0,NA(),(F176-B176)/1000000)</x:f>
        <x:v>0.141369</x:v>
      </x:c>
      <x:c r="L176" s="39" t="n">
        <x:f>IF(C176&lt;0,1,IF(OR(G176=0,H176=0,I176=0,F176-B176&gt;100000000),1,0))</x:f>
        <x:v>0</x:v>
      </x:c>
      <x:c r="M176" s="39" t="n">
        <x:f>IF(C176&lt;0,1,0)</x:f>
        <x:v>0</x:v>
      </x:c>
      <x:c r="N176" s="1"/>
      <x:c r="O176" s="1"/>
      <x:c r="P176" s="1"/>
      <x:c r="Q176" s="1"/>
      <x:c r="R176" s="1"/>
    </x:row>
    <x:row r="177" ht="22" customHeight="1">
      <x:c r="A177" s="39" t="n">
        <x:v>131</x:v>
      </x:c>
      <x:c r="B177" s="39" t="n">
        <x:v>13100000000</x:v>
      </x:c>
      <x:c r="C177" s="39" t="n">
        <x:v>13100071853</x:v>
      </x:c>
      <x:c r="D177" s="39" t="n">
        <x:v>13100143774</x:v>
      </x:c>
      <x:c r="E177" s="39" t="n">
        <x:v>13206204761</x:v>
      </x:c>
      <x:c r="F177" s="39" t="n">
        <x:v>13206222463</x:v>
      </x:c>
      <x:c r="G177" s="39" t="n">
        <x:v>1</x:v>
      </x:c>
      <x:c r="H177" s="39" t="n">
        <x:v>1</x:v>
      </x:c>
      <x:c r="I177" s="39" t="n">
        <x:v>1</x:v>
      </x:c>
      <x:c r="J177" s="40" t="n">
        <x:f>B177/1000000000</x:f>
        <x:v>13.1</x:v>
      </x:c>
      <x:c r="K177" s="41" t="n">
        <x:f>IF(C177&lt;0,NA(),(F177-B177)/1000000)</x:f>
        <x:v>106.222463</x:v>
      </x:c>
      <x:c r="L177" s="39" t="n">
        <x:f>IF(C177&lt;0,1,IF(OR(G177=0,H177=0,I177=0,F177-B177&gt;100000000),1,0))</x:f>
        <x:v>1</x:v>
      </x:c>
      <x:c r="M177" s="39" t="n">
        <x:f>IF(C177&lt;0,1,0)</x:f>
        <x:v>0</x:v>
      </x:c>
      <x:c r="N177" s="1"/>
      <x:c r="O177" s="1"/>
      <x:c r="P177" s="1"/>
      <x:c r="Q177" s="1"/>
      <x:c r="R177" s="1"/>
    </x:row>
    <x:row r="178" ht="22" customHeight="1">
      <x:c r="A178" s="39" t="n">
        <x:v>132</x:v>
      </x:c>
      <x:c r="B178" s="39" t="n">
        <x:v>13200000000</x:v>
      </x:c>
      <x:c r="C178" s="39" t="n">
        <x:v>-1</x:v>
      </x:c>
      <x:c r="D178" s="39" t="n">
        <x:v>-1</x:v>
      </x:c>
      <x:c r="E178" s="39" t="n">
        <x:v>-1</x:v>
      </x:c>
      <x:c r="F178" s="39" t="n">
        <x:v>-1</x:v>
      </x:c>
      <x:c r="G178" s="39" t="n">
        <x:v>0</x:v>
      </x:c>
      <x:c r="H178" s="39" t="n">
        <x:v>0</x:v>
      </x:c>
      <x:c r="I178" s="39" t="n">
        <x:v>0</x:v>
      </x:c>
      <x:c r="J178" s="40" t="n">
        <x:f>B178/1000000000</x:f>
        <x:v>13.2</x:v>
      </x:c>
      <x:c r="K178" s="41" t="e">
        <x:f>IF(C178&lt;0,NA(),(F178-B178)/1000000)</x:f>
        <x:v>#N/A</x:v>
      </x:c>
      <x:c r="L178" s="39" t="n">
        <x:f>IF(C178&lt;0,1,IF(OR(G178=0,H178=0,I178=0,F178-B178&gt;100000000),1,0))</x:f>
        <x:v>1</x:v>
      </x:c>
      <x:c r="M178" s="39" t="n">
        <x:f>IF(C178&lt;0,1,0)</x:f>
        <x:v>1</x:v>
      </x:c>
      <x:c r="N178" s="1"/>
      <x:c r="O178" s="1"/>
      <x:c r="P178" s="1"/>
      <x:c r="Q178" s="1"/>
      <x:c r="R178" s="1"/>
    </x:row>
    <x:row r="179" ht="22" customHeight="1">
      <x:c r="A179" s="39" t="n">
        <x:v>133</x:v>
      </x:c>
      <x:c r="B179" s="39" t="n">
        <x:v>13300000000</x:v>
      </x:c>
      <x:c r="C179" s="39" t="n">
        <x:v>13300121827</x:v>
      </x:c>
      <x:c r="D179" s="39" t="n">
        <x:v>13300327185</x:v>
      </x:c>
      <x:c r="E179" s="39" t="n">
        <x:v>13300475027</x:v>
      </x:c>
      <x:c r="F179" s="39" t="n">
        <x:v>13300497044</x:v>
      </x:c>
      <x:c r="G179" s="39" t="n">
        <x:v>1</x:v>
      </x:c>
      <x:c r="H179" s="39" t="n">
        <x:v>1</x:v>
      </x:c>
      <x:c r="I179" s="39" t="n">
        <x:v>1</x:v>
      </x:c>
      <x:c r="J179" s="40" t="n">
        <x:f>B179/1000000000</x:f>
        <x:v>13.3</x:v>
      </x:c>
      <x:c r="K179" s="41" t="n">
        <x:f>IF(C179&lt;0,NA(),(F179-B179)/1000000)</x:f>
        <x:v>0.497044</x:v>
      </x:c>
      <x:c r="L179" s="39" t="n">
        <x:f>IF(C179&lt;0,1,IF(OR(G179=0,H179=0,I179=0,F179-B179&gt;100000000),1,0))</x:f>
        <x:v>0</x:v>
      </x:c>
      <x:c r="M179" s="39" t="n">
        <x:f>IF(C179&lt;0,1,0)</x:f>
        <x:v>0</x:v>
      </x:c>
      <x:c r="N179" s="1"/>
      <x:c r="O179" s="1"/>
      <x:c r="P179" s="1"/>
      <x:c r="Q179" s="1"/>
      <x:c r="R179" s="1"/>
    </x:row>
    <x:row r="180" ht="22" customHeight="1">
      <x:c r="A180" s="39" t="n">
        <x:v>134</x:v>
      </x:c>
      <x:c r="B180" s="39" t="n">
        <x:v>13400000000</x:v>
      </x:c>
      <x:c r="C180" s="39" t="n">
        <x:v>13400057792</x:v>
      </x:c>
      <x:c r="D180" s="39" t="n">
        <x:v>13745073081</x:v>
      </x:c>
      <x:c r="E180" s="39" t="n">
        <x:v>13745143688</x:v>
      </x:c>
      <x:c r="F180" s="39" t="n">
        <x:v>13745159335</x:v>
      </x:c>
      <x:c r="G180" s="39" t="n">
        <x:v>1</x:v>
      </x:c>
      <x:c r="H180" s="39" t="n">
        <x:v>1</x:v>
      </x:c>
      <x:c r="I180" s="39" t="n">
        <x:v>1</x:v>
      </x:c>
      <x:c r="J180" s="40" t="n">
        <x:f>B180/1000000000</x:f>
        <x:v>13.4</x:v>
      </x:c>
      <x:c r="K180" s="41" t="n">
        <x:f>IF(C180&lt;0,NA(),(F180-B180)/1000000)</x:f>
        <x:v>345.159335</x:v>
      </x:c>
      <x:c r="L180" s="39" t="n">
        <x:f>IF(C180&lt;0,1,IF(OR(G180=0,H180=0,I180=0,F180-B180&gt;100000000),1,0))</x:f>
        <x:v>1</x:v>
      </x:c>
      <x:c r="M180" s="39" t="n">
        <x:f>IF(C180&lt;0,1,0)</x:f>
        <x:v>0</x:v>
      </x:c>
      <x:c r="N180" s="1"/>
      <x:c r="O180" s="1"/>
      <x:c r="P180" s="1"/>
      <x:c r="Q180" s="1"/>
      <x:c r="R180" s="1"/>
    </x:row>
    <x:row r="181" ht="22" customHeight="1">
      <x:c r="A181" s="39" t="n">
        <x:v>135</x:v>
      </x:c>
      <x:c r="B181" s="39" t="n">
        <x:v>13500000000</x:v>
      </x:c>
      <x:c r="C181" s="39" t="n">
        <x:v>-1</x:v>
      </x:c>
      <x:c r="D181" s="39" t="n">
        <x:v>-1</x:v>
      </x:c>
      <x:c r="E181" s="39" t="n">
        <x:v>-1</x:v>
      </x:c>
      <x:c r="F181" s="39" t="n">
        <x:v>-1</x:v>
      </x:c>
      <x:c r="G181" s="39" t="n">
        <x:v>0</x:v>
      </x:c>
      <x:c r="H181" s="39" t="n">
        <x:v>0</x:v>
      </x:c>
      <x:c r="I181" s="39" t="n">
        <x:v>0</x:v>
      </x:c>
      <x:c r="J181" s="40" t="n">
        <x:f>B181/1000000000</x:f>
        <x:v>13.5</x:v>
      </x:c>
      <x:c r="K181" s="41" t="e">
        <x:f>IF(C181&lt;0,NA(),(F181-B181)/1000000)</x:f>
        <x:v>#N/A</x:v>
      </x:c>
      <x:c r="L181" s="39" t="n">
        <x:f>IF(C181&lt;0,1,IF(OR(G181=0,H181=0,I181=0,F181-B181&gt;100000000),1,0))</x:f>
        <x:v>1</x:v>
      </x:c>
      <x:c r="M181" s="39" t="n">
        <x:f>IF(C181&lt;0,1,0)</x:f>
        <x:v>1</x:v>
      </x:c>
      <x:c r="N181" s="1"/>
      <x:c r="O181" s="1"/>
      <x:c r="P181" s="1"/>
      <x:c r="Q181" s="1"/>
      <x:c r="R181" s="1"/>
    </x:row>
    <x:row r="182" ht="22" customHeight="1">
      <x:c r="A182" s="39" t="n">
        <x:v>136</x:v>
      </x:c>
      <x:c r="B182" s="39" t="n">
        <x:v>13600000000</x:v>
      </x:c>
      <x:c r="C182" s="39" t="n">
        <x:v>-1</x:v>
      </x:c>
      <x:c r="D182" s="39" t="n">
        <x:v>-1</x:v>
      </x:c>
      <x:c r="E182" s="39" t="n">
        <x:v>-1</x:v>
      </x:c>
      <x:c r="F182" s="39" t="n">
        <x:v>-1</x:v>
      </x:c>
      <x:c r="G182" s="39" t="n">
        <x:v>0</x:v>
      </x:c>
      <x:c r="H182" s="39" t="n">
        <x:v>0</x:v>
      </x:c>
      <x:c r="I182" s="39" t="n">
        <x:v>0</x:v>
      </x:c>
      <x:c r="J182" s="40" t="n">
        <x:f>B182/1000000000</x:f>
        <x:v>13.6</x:v>
      </x:c>
      <x:c r="K182" s="41" t="e">
        <x:f>IF(C182&lt;0,NA(),(F182-B182)/1000000)</x:f>
        <x:v>#N/A</x:v>
      </x:c>
      <x:c r="L182" s="39" t="n">
        <x:f>IF(C182&lt;0,1,IF(OR(G182=0,H182=0,I182=0,F182-B182&gt;100000000),1,0))</x:f>
        <x:v>1</x:v>
      </x:c>
      <x:c r="M182" s="39" t="n">
        <x:f>IF(C182&lt;0,1,0)</x:f>
        <x:v>1</x:v>
      </x:c>
      <x:c r="N182" s="1"/>
      <x:c r="O182" s="1"/>
      <x:c r="P182" s="1"/>
      <x:c r="Q182" s="1"/>
      <x:c r="R182" s="1"/>
    </x:row>
    <x:row r="183" ht="22" customHeight="1">
      <x:c r="A183" s="39" t="n">
        <x:v>137</x:v>
      </x:c>
      <x:c r="B183" s="39" t="n">
        <x:v>13700000000</x:v>
      </x:c>
      <x:c r="C183" s="39" t="n">
        <x:v>-1</x:v>
      </x:c>
      <x:c r="D183" s="39" t="n">
        <x:v>-1</x:v>
      </x:c>
      <x:c r="E183" s="39" t="n">
        <x:v>-1</x:v>
      </x:c>
      <x:c r="F183" s="39" t="n">
        <x:v>-1</x:v>
      </x:c>
      <x:c r="G183" s="39" t="n">
        <x:v>0</x:v>
      </x:c>
      <x:c r="H183" s="39" t="n">
        <x:v>0</x:v>
      </x:c>
      <x:c r="I183" s="39" t="n">
        <x:v>0</x:v>
      </x:c>
      <x:c r="J183" s="40" t="n">
        <x:f>B183/1000000000</x:f>
        <x:v>13.7</x:v>
      </x:c>
      <x:c r="K183" s="41" t="e">
        <x:f>IF(C183&lt;0,NA(),(F183-B183)/1000000)</x:f>
        <x:v>#N/A</x:v>
      </x:c>
      <x:c r="L183" s="39" t="n">
        <x:f>IF(C183&lt;0,1,IF(OR(G183=0,H183=0,I183=0,F183-B183&gt;100000000),1,0))</x:f>
        <x:v>1</x:v>
      </x:c>
      <x:c r="M183" s="39" t="n">
        <x:f>IF(C183&lt;0,1,0)</x:f>
        <x:v>1</x:v>
      </x:c>
      <x:c r="N183" s="1"/>
      <x:c r="O183" s="1"/>
      <x:c r="P183" s="1"/>
      <x:c r="Q183" s="1"/>
      <x:c r="R183" s="1"/>
    </x:row>
    <x:row r="184" ht="22" customHeight="1">
      <x:c r="A184" s="39" t="n">
        <x:v>138</x:v>
      </x:c>
      <x:c r="B184" s="39" t="n">
        <x:v>13800000000</x:v>
      </x:c>
      <x:c r="C184" s="39" t="n">
        <x:v>13800060248</x:v>
      </x:c>
      <x:c r="D184" s="39" t="n">
        <x:v>13800103041</x:v>
      </x:c>
      <x:c r="E184" s="39" t="n">
        <x:v>13800133317</x:v>
      </x:c>
      <x:c r="F184" s="39" t="n">
        <x:v>13800144576</x:v>
      </x:c>
      <x:c r="G184" s="39" t="n">
        <x:v>1</x:v>
      </x:c>
      <x:c r="H184" s="39" t="n">
        <x:v>1</x:v>
      </x:c>
      <x:c r="I184" s="39" t="n">
        <x:v>1</x:v>
      </x:c>
      <x:c r="J184" s="40" t="n">
        <x:f>B184/1000000000</x:f>
        <x:v>13.8</x:v>
      </x:c>
      <x:c r="K184" s="41" t="n">
        <x:f>IF(C184&lt;0,NA(),(F184-B184)/1000000)</x:f>
        <x:v>0.144576</x:v>
      </x:c>
      <x:c r="L184" s="39" t="n">
        <x:f>IF(C184&lt;0,1,IF(OR(G184=0,H184=0,I184=0,F184-B184&gt;100000000),1,0))</x:f>
        <x:v>0</x:v>
      </x:c>
      <x:c r="M184" s="39" t="n">
        <x:f>IF(C184&lt;0,1,0)</x:f>
        <x:v>0</x:v>
      </x:c>
      <x:c r="N184" s="1"/>
      <x:c r="O184" s="1"/>
      <x:c r="P184" s="1"/>
      <x:c r="Q184" s="1"/>
      <x:c r="R184" s="1"/>
    </x:row>
    <x:row r="185" ht="22" customHeight="1">
      <x:c r="A185" s="39" t="n">
        <x:v>139</x:v>
      </x:c>
      <x:c r="B185" s="39" t="n">
        <x:v>13900000000</x:v>
      </x:c>
      <x:c r="C185" s="39" t="n">
        <x:v>13900057215</x:v>
      </x:c>
      <x:c r="D185" s="39" t="n">
        <x:v>13900083565</x:v>
      </x:c>
      <x:c r="E185" s="39" t="n">
        <x:v>13900107341</x:v>
      </x:c>
      <x:c r="F185" s="39" t="n">
        <x:v>13900118045</x:v>
      </x:c>
      <x:c r="G185" s="39" t="n">
        <x:v>1</x:v>
      </x:c>
      <x:c r="H185" s="39" t="n">
        <x:v>1</x:v>
      </x:c>
      <x:c r="I185" s="39" t="n">
        <x:v>1</x:v>
      </x:c>
      <x:c r="J185" s="40" t="n">
        <x:f>B185/1000000000</x:f>
        <x:v>13.9</x:v>
      </x:c>
      <x:c r="K185" s="41" t="n">
        <x:f>IF(C185&lt;0,NA(),(F185-B185)/1000000)</x:f>
        <x:v>0.118045</x:v>
      </x:c>
      <x:c r="L185" s="39" t="n">
        <x:f>IF(C185&lt;0,1,IF(OR(G185=0,H185=0,I185=0,F185-B185&gt;100000000),1,0))</x:f>
        <x:v>0</x:v>
      </x:c>
      <x:c r="M185" s="39" t="n">
        <x:f>IF(C185&lt;0,1,0)</x:f>
        <x:v>0</x:v>
      </x:c>
      <x:c r="N185" s="1"/>
      <x:c r="O185" s="1"/>
      <x:c r="P185" s="1"/>
      <x:c r="Q185" s="1"/>
      <x:c r="R185" s="1"/>
    </x:row>
    <x:row r="186" ht="22" customHeight="1">
      <x:c r="A186" s="39" t="n">
        <x:v>140</x:v>
      </x:c>
      <x:c r="B186" s="39" t="n">
        <x:v>14000000000</x:v>
      </x:c>
      <x:c r="C186" s="39" t="n">
        <x:v>14000053387</x:v>
      </x:c>
      <x:c r="D186" s="39" t="n">
        <x:v>14000071775</x:v>
      </x:c>
      <x:c r="E186" s="39" t="n">
        <x:v>14000088977</x:v>
      </x:c>
      <x:c r="F186" s="39" t="n">
        <x:v>14000099421</x:v>
      </x:c>
      <x:c r="G186" s="39" t="n">
        <x:v>1</x:v>
      </x:c>
      <x:c r="H186" s="39" t="n">
        <x:v>1</x:v>
      </x:c>
      <x:c r="I186" s="39" t="n">
        <x:v>1</x:v>
      </x:c>
      <x:c r="J186" s="40" t="n">
        <x:f>B186/1000000000</x:f>
        <x:v>14</x:v>
      </x:c>
      <x:c r="K186" s="41" t="n">
        <x:f>IF(C186&lt;0,NA(),(F186-B186)/1000000)</x:f>
        <x:v>0.099421</x:v>
      </x:c>
      <x:c r="L186" s="39" t="n">
        <x:f>IF(C186&lt;0,1,IF(OR(G186=0,H186=0,I186=0,F186-B186&gt;100000000),1,0))</x:f>
        <x:v>0</x:v>
      </x:c>
      <x:c r="M186" s="39" t="n">
        <x:f>IF(C186&lt;0,1,0)</x:f>
        <x:v>0</x:v>
      </x:c>
      <x:c r="N186" s="1"/>
      <x:c r="O186" s="1"/>
      <x:c r="P186" s="1"/>
      <x:c r="Q186" s="1"/>
      <x:c r="R186" s="1"/>
    </x:row>
    <x:row r="187" ht="22" customHeight="1">
      <x:c r="A187" s="39" t="n">
        <x:v>141</x:v>
      </x:c>
      <x:c r="B187" s="39" t="n">
        <x:v>14100000000</x:v>
      </x:c>
      <x:c r="C187" s="39" t="n">
        <x:v>14100056318</x:v>
      </x:c>
      <x:c r="D187" s="39" t="n">
        <x:v>14100069983</x:v>
      </x:c>
      <x:c r="E187" s="39" t="n">
        <x:v>14100083890</x:v>
      </x:c>
      <x:c r="F187" s="39" t="n">
        <x:v>14100093612</x:v>
      </x:c>
      <x:c r="G187" s="39" t="n">
        <x:v>1</x:v>
      </x:c>
      <x:c r="H187" s="39" t="n">
        <x:v>1</x:v>
      </x:c>
      <x:c r="I187" s="39" t="n">
        <x:v>1</x:v>
      </x:c>
      <x:c r="J187" s="40" t="n">
        <x:f>B187/1000000000</x:f>
        <x:v>14.1</x:v>
      </x:c>
      <x:c r="K187" s="41" t="n">
        <x:f>IF(C187&lt;0,NA(),(F187-B187)/1000000)</x:f>
        <x:v>0.093612</x:v>
      </x:c>
      <x:c r="L187" s="39" t="n">
        <x:f>IF(C187&lt;0,1,IF(OR(G187=0,H187=0,I187=0,F187-B187&gt;100000000),1,0))</x:f>
        <x:v>0</x:v>
      </x:c>
      <x:c r="M187" s="39" t="n">
        <x:f>IF(C187&lt;0,1,0)</x:f>
        <x:v>0</x:v>
      </x:c>
      <x:c r="N187" s="1"/>
      <x:c r="O187" s="1"/>
      <x:c r="P187" s="1"/>
      <x:c r="Q187" s="1"/>
      <x:c r="R187" s="1"/>
    </x:row>
    <x:row r="188" ht="22" customHeight="1">
      <x:c r="A188" s="39" t="n">
        <x:v>142</x:v>
      </x:c>
      <x:c r="B188" s="39" t="n">
        <x:v>14200000000</x:v>
      </x:c>
      <x:c r="C188" s="39" t="n">
        <x:v>14200116560</x:v>
      </x:c>
      <x:c r="D188" s="39" t="n">
        <x:v>14200350194</x:v>
      </x:c>
      <x:c r="E188" s="39" t="n">
        <x:v>14200518554</x:v>
      </x:c>
      <x:c r="F188" s="39" t="n">
        <x:v>14200537312</x:v>
      </x:c>
      <x:c r="G188" s="39" t="n">
        <x:v>1</x:v>
      </x:c>
      <x:c r="H188" s="39" t="n">
        <x:v>1</x:v>
      </x:c>
      <x:c r="I188" s="39" t="n">
        <x:v>1</x:v>
      </x:c>
      <x:c r="J188" s="40" t="n">
        <x:f>B188/1000000000</x:f>
        <x:v>14.2</x:v>
      </x:c>
      <x:c r="K188" s="41" t="n">
        <x:f>IF(C188&lt;0,NA(),(F188-B188)/1000000)</x:f>
        <x:v>0.537312</x:v>
      </x:c>
      <x:c r="L188" s="39" t="n">
        <x:f>IF(C188&lt;0,1,IF(OR(G188=0,H188=0,I188=0,F188-B188&gt;100000000),1,0))</x:f>
        <x:v>0</x:v>
      </x:c>
      <x:c r="M188" s="39" t="n">
        <x:f>IF(C188&lt;0,1,0)</x:f>
        <x:v>0</x:v>
      </x:c>
      <x:c r="N188" s="1"/>
      <x:c r="O188" s="1"/>
      <x:c r="P188" s="1"/>
      <x:c r="Q188" s="1"/>
      <x:c r="R188" s="1"/>
    </x:row>
    <x:row r="189" ht="22" customHeight="1">
      <x:c r="A189" s="39" t="n">
        <x:v>143</x:v>
      </x:c>
      <x:c r="B189" s="39" t="n">
        <x:v>14300000000</x:v>
      </x:c>
      <x:c r="C189" s="39" t="n">
        <x:v>14300059624</x:v>
      </x:c>
      <x:c r="D189" s="39" t="n">
        <x:v>14300108028</x:v>
      </x:c>
      <x:c r="E189" s="39" t="n">
        <x:v>14300149211</x:v>
      </x:c>
      <x:c r="F189" s="39" t="n">
        <x:v>14300160988</x:v>
      </x:c>
      <x:c r="G189" s="39" t="n">
        <x:v>1</x:v>
      </x:c>
      <x:c r="H189" s="39" t="n">
        <x:v>1</x:v>
      </x:c>
      <x:c r="I189" s="39" t="n">
        <x:v>1</x:v>
      </x:c>
      <x:c r="J189" s="40" t="n">
        <x:f>B189/1000000000</x:f>
        <x:v>14.3</x:v>
      </x:c>
      <x:c r="K189" s="41" t="n">
        <x:f>IF(C189&lt;0,NA(),(F189-B189)/1000000)</x:f>
        <x:v>0.160988</x:v>
      </x:c>
      <x:c r="L189" s="39" t="n">
        <x:f>IF(C189&lt;0,1,IF(OR(G189=0,H189=0,I189=0,F189-B189&gt;100000000),1,0))</x:f>
        <x:v>0</x:v>
      </x:c>
      <x:c r="M189" s="39" t="n">
        <x:f>IF(C189&lt;0,1,0)</x:f>
        <x:v>0</x:v>
      </x:c>
      <x:c r="N189" s="1"/>
      <x:c r="O189" s="1"/>
      <x:c r="P189" s="1"/>
      <x:c r="Q189" s="1"/>
      <x:c r="R189" s="1"/>
    </x:row>
    <x:row r="190" ht="22" customHeight="1">
      <x:c r="A190" s="39" t="n">
        <x:v>144</x:v>
      </x:c>
      <x:c r="B190" s="39" t="n">
        <x:v>14400000000</x:v>
      </x:c>
      <x:c r="C190" s="39" t="n">
        <x:v>14400058796</x:v>
      </x:c>
      <x:c r="D190" s="39" t="n">
        <x:v>14400113903</x:v>
      </x:c>
      <x:c r="E190" s="39" t="n">
        <x:v>14400164974</x:v>
      </x:c>
      <x:c r="F190" s="39" t="n">
        <x:v>14400176603</x:v>
      </x:c>
      <x:c r="G190" s="39" t="n">
        <x:v>1</x:v>
      </x:c>
      <x:c r="H190" s="39" t="n">
        <x:v>1</x:v>
      </x:c>
      <x:c r="I190" s="39" t="n">
        <x:v>1</x:v>
      </x:c>
      <x:c r="J190" s="40" t="n">
        <x:f>B190/1000000000</x:f>
        <x:v>14.4</x:v>
      </x:c>
      <x:c r="K190" s="41" t="n">
        <x:f>IF(C190&lt;0,NA(),(F190-B190)/1000000)</x:f>
        <x:v>0.176603</x:v>
      </x:c>
      <x:c r="L190" s="39" t="n">
        <x:f>IF(C190&lt;0,1,IF(OR(G190=0,H190=0,I190=0,F190-B190&gt;100000000),1,0))</x:f>
        <x:v>0</x:v>
      </x:c>
      <x:c r="M190" s="39" t="n">
        <x:f>IF(C190&lt;0,1,0)</x:f>
        <x:v>0</x:v>
      </x:c>
      <x:c r="N190" s="1"/>
      <x:c r="O190" s="1"/>
      <x:c r="P190" s="1"/>
      <x:c r="Q190" s="1"/>
      <x:c r="R190" s="1"/>
    </x:row>
    <x:row r="191" ht="22" customHeight="1">
      <x:c r="A191" s="39" t="n">
        <x:v>145</x:v>
      </x:c>
      <x:c r="B191" s="39" t="n">
        <x:v>14500000000</x:v>
      </x:c>
      <x:c r="C191" s="39" t="n">
        <x:v>14500058690</x:v>
      </x:c>
      <x:c r="D191" s="39" t="n">
        <x:v>14500099743</x:v>
      </x:c>
      <x:c r="E191" s="39" t="n">
        <x:v>14500142962</x:v>
      </x:c>
      <x:c r="F191" s="39" t="n">
        <x:v>14500153832</x:v>
      </x:c>
      <x:c r="G191" s="39" t="n">
        <x:v>1</x:v>
      </x:c>
      <x:c r="H191" s="39" t="n">
        <x:v>1</x:v>
      </x:c>
      <x:c r="I191" s="39" t="n">
        <x:v>1</x:v>
      </x:c>
      <x:c r="J191" s="40" t="n">
        <x:f>B191/1000000000</x:f>
        <x:v>14.5</x:v>
      </x:c>
      <x:c r="K191" s="41" t="n">
        <x:f>IF(C191&lt;0,NA(),(F191-B191)/1000000)</x:f>
        <x:v>0.153832</x:v>
      </x:c>
      <x:c r="L191" s="39" t="n">
        <x:f>IF(C191&lt;0,1,IF(OR(G191=0,H191=0,I191=0,F191-B191&gt;100000000),1,0))</x:f>
        <x:v>0</x:v>
      </x:c>
      <x:c r="M191" s="39" t="n">
        <x:f>IF(C191&lt;0,1,0)</x:f>
        <x:v>0</x:v>
      </x:c>
      <x:c r="N191" s="1"/>
      <x:c r="O191" s="1"/>
      <x:c r="P191" s="1"/>
      <x:c r="Q191" s="1"/>
      <x:c r="R191" s="1"/>
    </x:row>
    <x:row r="192" ht="22" customHeight="1">
      <x:c r="A192" s="39" t="n">
        <x:v>146</x:v>
      </x:c>
      <x:c r="B192" s="39" t="n">
        <x:v>14600000000</x:v>
      </x:c>
      <x:c r="C192" s="39" t="n">
        <x:v>14600057769</x:v>
      </x:c>
      <x:c r="D192" s="39" t="n">
        <x:v>14600084934</x:v>
      </x:c>
      <x:c r="E192" s="39" t="n">
        <x:v>14600117006</x:v>
      </x:c>
      <x:c r="F192" s="39" t="n">
        <x:v>14600127061</x:v>
      </x:c>
      <x:c r="G192" s="39" t="n">
        <x:v>1</x:v>
      </x:c>
      <x:c r="H192" s="39" t="n">
        <x:v>1</x:v>
      </x:c>
      <x:c r="I192" s="39" t="n">
        <x:v>1</x:v>
      </x:c>
      <x:c r="J192" s="40" t="n">
        <x:f>B192/1000000000</x:f>
        <x:v>14.6</x:v>
      </x:c>
      <x:c r="K192" s="41" t="n">
        <x:f>IF(C192&lt;0,NA(),(F192-B192)/1000000)</x:f>
        <x:v>0.127061</x:v>
      </x:c>
      <x:c r="L192" s="39" t="n">
        <x:f>IF(C192&lt;0,1,IF(OR(G192=0,H192=0,I192=0,F192-B192&gt;100000000),1,0))</x:f>
        <x:v>0</x:v>
      </x:c>
      <x:c r="M192" s="39" t="n">
        <x:f>IF(C192&lt;0,1,0)</x:f>
        <x:v>0</x:v>
      </x:c>
      <x:c r="N192" s="1"/>
      <x:c r="O192" s="1"/>
      <x:c r="P192" s="1"/>
      <x:c r="Q192" s="1"/>
      <x:c r="R192" s="1"/>
    </x:row>
    <x:row r="193" ht="22" customHeight="1">
      <x:c r="A193" s="39" t="n">
        <x:v>147</x:v>
      </x:c>
      <x:c r="B193" s="39" t="n">
        <x:v>14700000000</x:v>
      </x:c>
      <x:c r="C193" s="39" t="n">
        <x:v>14700053311</x:v>
      </x:c>
      <x:c r="D193" s="39" t="n">
        <x:v>14700066903</x:v>
      </x:c>
      <x:c r="E193" s="39" t="n">
        <x:v>14700080532</x:v>
      </x:c>
      <x:c r="F193" s="39" t="n">
        <x:v>14700090383</x:v>
      </x:c>
      <x:c r="G193" s="39" t="n">
        <x:v>1</x:v>
      </x:c>
      <x:c r="H193" s="39" t="n">
        <x:v>1</x:v>
      </x:c>
      <x:c r="I193" s="39" t="n">
        <x:v>1</x:v>
      </x:c>
      <x:c r="J193" s="40" t="n">
        <x:f>B193/1000000000</x:f>
        <x:v>14.7</x:v>
      </x:c>
      <x:c r="K193" s="41" t="n">
        <x:f>IF(C193&lt;0,NA(),(F193-B193)/1000000)</x:f>
        <x:v>0.090383</x:v>
      </x:c>
      <x:c r="L193" s="39" t="n">
        <x:f>IF(C193&lt;0,1,IF(OR(G193=0,H193=0,I193=0,F193-B193&gt;100000000),1,0))</x:f>
        <x:v>0</x:v>
      </x:c>
      <x:c r="M193" s="39" t="n">
        <x:f>IF(C193&lt;0,1,0)</x:f>
        <x:v>0</x:v>
      </x:c>
      <x:c r="N193" s="1"/>
      <x:c r="O193" s="1"/>
      <x:c r="P193" s="1"/>
      <x:c r="Q193" s="1"/>
      <x:c r="R193" s="1"/>
    </x:row>
    <x:row r="194" ht="22" customHeight="1">
      <x:c r="A194" s="39" t="n">
        <x:v>148</x:v>
      </x:c>
      <x:c r="B194" s="39" t="n">
        <x:v>14800000000</x:v>
      </x:c>
      <x:c r="C194" s="39" t="n">
        <x:v>14800052483</x:v>
      </x:c>
      <x:c r="D194" s="39" t="n">
        <x:v>14800067260</x:v>
      </x:c>
      <x:c r="E194" s="39" t="n">
        <x:v>14800082574</x:v>
      </x:c>
      <x:c r="F194" s="39" t="n">
        <x:v>14800092203</x:v>
      </x:c>
      <x:c r="G194" s="39" t="n">
        <x:v>1</x:v>
      </x:c>
      <x:c r="H194" s="39" t="n">
        <x:v>1</x:v>
      </x:c>
      <x:c r="I194" s="39" t="n">
        <x:v>1</x:v>
      </x:c>
      <x:c r="J194" s="40" t="n">
        <x:f>B194/1000000000</x:f>
        <x:v>14.8</x:v>
      </x:c>
      <x:c r="K194" s="41" t="n">
        <x:f>IF(C194&lt;0,NA(),(F194-B194)/1000000)</x:f>
        <x:v>0.092203</x:v>
      </x:c>
      <x:c r="L194" s="39" t="n">
        <x:f>IF(C194&lt;0,1,IF(OR(G194=0,H194=0,I194=0,F194-B194&gt;100000000),1,0))</x:f>
        <x:v>0</x:v>
      </x:c>
      <x:c r="M194" s="39" t="n">
        <x:f>IF(C194&lt;0,1,0)</x:f>
        <x:v>0</x:v>
      </x:c>
      <x:c r="N194" s="1"/>
      <x:c r="O194" s="1"/>
      <x:c r="P194" s="1"/>
      <x:c r="Q194" s="1"/>
      <x:c r="R194" s="1"/>
    </x:row>
    <x:row r="195" ht="22" customHeight="1">
      <x:c r="A195" s="39" t="n">
        <x:v>149</x:v>
      </x:c>
      <x:c r="B195" s="39" t="n">
        <x:v>14900000000</x:v>
      </x:c>
      <x:c r="C195" s="39" t="n">
        <x:v>14900056054</x:v>
      </x:c>
      <x:c r="D195" s="39" t="n">
        <x:v>14900084238</x:v>
      </x:c>
      <x:c r="E195" s="39" t="n">
        <x:v>14900108977</x:v>
      </x:c>
      <x:c r="F195" s="39" t="n">
        <x:v>14900119180</x:v>
      </x:c>
      <x:c r="G195" s="39" t="n">
        <x:v>1</x:v>
      </x:c>
      <x:c r="H195" s="39" t="n">
        <x:v>1</x:v>
      </x:c>
      <x:c r="I195" s="39" t="n">
        <x:v>1</x:v>
      </x:c>
      <x:c r="J195" s="40" t="n">
        <x:f>B195/1000000000</x:f>
        <x:v>14.9</x:v>
      </x:c>
      <x:c r="K195" s="41" t="n">
        <x:f>IF(C195&lt;0,NA(),(F195-B195)/1000000)</x:f>
        <x:v>0.11918</x:v>
      </x:c>
      <x:c r="L195" s="39" t="n">
        <x:f>IF(C195&lt;0,1,IF(OR(G195=0,H195=0,I195=0,F195-B195&gt;100000000),1,0))</x:f>
        <x:v>0</x:v>
      </x:c>
      <x:c r="M195" s="39" t="n">
        <x:f>IF(C195&lt;0,1,0)</x:f>
        <x:v>0</x:v>
      </x:c>
      <x:c r="N195" s="1"/>
      <x:c r="O195" s="1"/>
      <x:c r="P195" s="1"/>
      <x:c r="Q195" s="1"/>
      <x:c r="R195" s="1"/>
    </x:row>
    <x:row r="196" ht="22" customHeight="1">
      <x:c r="A196" s="39" t="n">
        <x:v>150</x:v>
      </x:c>
      <x:c r="B196" s="39" t="n">
        <x:v>15000000000</x:v>
      </x:c>
      <x:c r="C196" s="39" t="n">
        <x:v>15000056416</x:v>
      </x:c>
      <x:c r="D196" s="39" t="n">
        <x:v>15000095266</x:v>
      </x:c>
      <x:c r="E196" s="39" t="n">
        <x:v>15000128634</x:v>
      </x:c>
      <x:c r="F196" s="39" t="n">
        <x:v>15000138967</x:v>
      </x:c>
      <x:c r="G196" s="39" t="n">
        <x:v>1</x:v>
      </x:c>
      <x:c r="H196" s="39" t="n">
        <x:v>1</x:v>
      </x:c>
      <x:c r="I196" s="39" t="n">
        <x:v>1</x:v>
      </x:c>
      <x:c r="J196" s="40" t="n">
        <x:f>B196/1000000000</x:f>
        <x:v>15</x:v>
      </x:c>
      <x:c r="K196" s="41" t="n">
        <x:f>IF(C196&lt;0,NA(),(F196-B196)/1000000)</x:f>
        <x:v>0.138967</x:v>
      </x:c>
      <x:c r="L196" s="39" t="n">
        <x:f>IF(C196&lt;0,1,IF(OR(G196=0,H196=0,I196=0,F196-B196&gt;100000000),1,0))</x:f>
        <x:v>0</x:v>
      </x:c>
      <x:c r="M196" s="39" t="n">
        <x:f>IF(C196&lt;0,1,0)</x:f>
        <x:v>0</x:v>
      </x:c>
      <x:c r="N196" s="1"/>
      <x:c r="O196" s="1"/>
      <x:c r="P196" s="1"/>
      <x:c r="Q196" s="1"/>
      <x:c r="R196" s="1"/>
    </x:row>
    <x:row r="197" ht="22" customHeight="1">
      <x:c r="A197" s="39" t="n">
        <x:v>151</x:v>
      </x:c>
      <x:c r="B197" s="39" t="n">
        <x:v>15100000000</x:v>
      </x:c>
      <x:c r="C197" s="39" t="n">
        <x:v>15100055279</x:v>
      </x:c>
      <x:c r="D197" s="39" t="n">
        <x:v>15100072741</x:v>
      </x:c>
      <x:c r="E197" s="39" t="n">
        <x:v>15100095406</x:v>
      </x:c>
      <x:c r="F197" s="39" t="n">
        <x:v>15100105257</x:v>
      </x:c>
      <x:c r="G197" s="39" t="n">
        <x:v>1</x:v>
      </x:c>
      <x:c r="H197" s="39" t="n">
        <x:v>1</x:v>
      </x:c>
      <x:c r="I197" s="39" t="n">
        <x:v>1</x:v>
      </x:c>
      <x:c r="J197" s="40" t="n">
        <x:f>B197/1000000000</x:f>
        <x:v>15.1</x:v>
      </x:c>
      <x:c r="K197" s="41" t="n">
        <x:f>IF(C197&lt;0,NA(),(F197-B197)/1000000)</x:f>
        <x:v>0.105257</x:v>
      </x:c>
      <x:c r="L197" s="39" t="n">
        <x:f>IF(C197&lt;0,1,IF(OR(G197=0,H197=0,I197=0,F197-B197&gt;100000000),1,0))</x:f>
        <x:v>0</x:v>
      </x:c>
      <x:c r="M197" s="39" t="n">
        <x:f>IF(C197&lt;0,1,0)</x:f>
        <x:v>0</x:v>
      </x:c>
      <x:c r="N197" s="1"/>
      <x:c r="O197" s="1"/>
      <x:c r="P197" s="1"/>
      <x:c r="Q197" s="1"/>
      <x:c r="R197" s="1"/>
    </x:row>
    <x:row r="198" ht="22" customHeight="1">
      <x:c r="A198" s="39" t="n">
        <x:v>152</x:v>
      </x:c>
      <x:c r="B198" s="39" t="n">
        <x:v>15200000000</x:v>
      </x:c>
      <x:c r="C198" s="39" t="n">
        <x:v>15200055308</x:v>
      </x:c>
      <x:c r="D198" s="39" t="n">
        <x:v>15200077214</x:v>
      </x:c>
      <x:c r="E198" s="39" t="n">
        <x:v>15200096361</x:v>
      </x:c>
      <x:c r="F198" s="39" t="n">
        <x:v>15200106249</x:v>
      </x:c>
      <x:c r="G198" s="39" t="n">
        <x:v>1</x:v>
      </x:c>
      <x:c r="H198" s="39" t="n">
        <x:v>1</x:v>
      </x:c>
      <x:c r="I198" s="39" t="n">
        <x:v>1</x:v>
      </x:c>
      <x:c r="J198" s="40" t="n">
        <x:f>B198/1000000000</x:f>
        <x:v>15.2</x:v>
      </x:c>
      <x:c r="K198" s="41" t="n">
        <x:f>IF(C198&lt;0,NA(),(F198-B198)/1000000)</x:f>
        <x:v>0.106249</x:v>
      </x:c>
      <x:c r="L198" s="39" t="n">
        <x:f>IF(C198&lt;0,1,IF(OR(G198=0,H198=0,I198=0,F198-B198&gt;100000000),1,0))</x:f>
        <x:v>0</x:v>
      </x:c>
      <x:c r="M198" s="39" t="n">
        <x:f>IF(C198&lt;0,1,0)</x:f>
        <x:v>0</x:v>
      </x:c>
      <x:c r="N198" s="1"/>
      <x:c r="O198" s="1"/>
      <x:c r="P198" s="1"/>
      <x:c r="Q198" s="1"/>
      <x:c r="R198" s="1"/>
    </x:row>
    <x:row r="199" ht="22" customHeight="1">
      <x:c r="A199" s="39" t="n">
        <x:v>153</x:v>
      </x:c>
      <x:c r="B199" s="39" t="n">
        <x:v>15300000000</x:v>
      </x:c>
      <x:c r="C199" s="39" t="n">
        <x:v>15300052059</x:v>
      </x:c>
      <x:c r="D199" s="39" t="n">
        <x:v>15300067206</x:v>
      </x:c>
      <x:c r="E199" s="39" t="n">
        <x:v>15300081594</x:v>
      </x:c>
      <x:c r="F199" s="39" t="n">
        <x:v>15300091316</x:v>
      </x:c>
      <x:c r="G199" s="39" t="n">
        <x:v>1</x:v>
      </x:c>
      <x:c r="H199" s="39" t="n">
        <x:v>1</x:v>
      </x:c>
      <x:c r="I199" s="39" t="n">
        <x:v>1</x:v>
      </x:c>
      <x:c r="J199" s="40" t="n">
        <x:f>B199/1000000000</x:f>
        <x:v>15.3</x:v>
      </x:c>
      <x:c r="K199" s="41" t="n">
        <x:f>IF(C199&lt;0,NA(),(F199-B199)/1000000)</x:f>
        <x:v>0.091316</x:v>
      </x:c>
      <x:c r="L199" s="39" t="n">
        <x:f>IF(C199&lt;0,1,IF(OR(G199=0,H199=0,I199=0,F199-B199&gt;100000000),1,0))</x:f>
        <x:v>0</x:v>
      </x:c>
      <x:c r="M199" s="39" t="n">
        <x:f>IF(C199&lt;0,1,0)</x:f>
        <x:v>0</x:v>
      </x:c>
      <x:c r="N199" s="1"/>
      <x:c r="O199" s="1"/>
      <x:c r="P199" s="1"/>
      <x:c r="Q199" s="1"/>
      <x:c r="R199" s="1"/>
    </x:row>
    <x:row r="200" ht="22" customHeight="1">
      <x:c r="A200" s="39" t="n">
        <x:v>154</x:v>
      </x:c>
      <x:c r="B200" s="39" t="n">
        <x:v>15400000000</x:v>
      </x:c>
      <x:c r="C200" s="39" t="n">
        <x:v>15400059847</x:v>
      </x:c>
      <x:c r="D200" s="39" t="n">
        <x:v>15400114714</x:v>
      </x:c>
      <x:c r="E200" s="39" t="n">
        <x:v>15400161730</x:v>
      </x:c>
      <x:c r="F200" s="39" t="n">
        <x:v>15400174914</x:v>
      </x:c>
      <x:c r="G200" s="39" t="n">
        <x:v>1</x:v>
      </x:c>
      <x:c r="H200" s="39" t="n">
        <x:v>1</x:v>
      </x:c>
      <x:c r="I200" s="39" t="n">
        <x:v>1</x:v>
      </x:c>
      <x:c r="J200" s="40" t="n">
        <x:f>B200/1000000000</x:f>
        <x:v>15.4</x:v>
      </x:c>
      <x:c r="K200" s="41" t="n">
        <x:f>IF(C200&lt;0,NA(),(F200-B200)/1000000)</x:f>
        <x:v>0.174914</x:v>
      </x:c>
      <x:c r="L200" s="39" t="n">
        <x:f>IF(C200&lt;0,1,IF(OR(G200=0,H200=0,I200=0,F200-B200&gt;100000000),1,0))</x:f>
        <x:v>0</x:v>
      </x:c>
      <x:c r="M200" s="39" t="n">
        <x:f>IF(C200&lt;0,1,0)</x:f>
        <x:v>0</x:v>
      </x:c>
      <x:c r="N200" s="1"/>
      <x:c r="O200" s="1"/>
      <x:c r="P200" s="1"/>
      <x:c r="Q200" s="1"/>
      <x:c r="R200" s="1"/>
    </x:row>
    <x:row r="201" ht="22" customHeight="1">
      <x:c r="A201" s="39" t="n">
        <x:v>155</x:v>
      </x:c>
      <x:c r="B201" s="39" t="n">
        <x:v>15500000000</x:v>
      </x:c>
      <x:c r="C201" s="39" t="n">
        <x:v>15500065023</x:v>
      </x:c>
      <x:c r="D201" s="39" t="n">
        <x:v>15500117391</x:v>
      </x:c>
      <x:c r="E201" s="39" t="n">
        <x:v>15500157666</x:v>
      </x:c>
      <x:c r="F201" s="39" t="n">
        <x:v>15500169573</x:v>
      </x:c>
      <x:c r="G201" s="39" t="n">
        <x:v>1</x:v>
      </x:c>
      <x:c r="H201" s="39" t="n">
        <x:v>1</x:v>
      </x:c>
      <x:c r="I201" s="39" t="n">
        <x:v>1</x:v>
      </x:c>
      <x:c r="J201" s="40" t="n">
        <x:f>B201/1000000000</x:f>
        <x:v>15.5</x:v>
      </x:c>
      <x:c r="K201" s="41" t="n">
        <x:f>IF(C201&lt;0,NA(),(F201-B201)/1000000)</x:f>
        <x:v>0.169573</x:v>
      </x:c>
      <x:c r="L201" s="39" t="n">
        <x:f>IF(C201&lt;0,1,IF(OR(G201=0,H201=0,I201=0,F201-B201&gt;100000000),1,0))</x:f>
        <x:v>0</x:v>
      </x:c>
      <x:c r="M201" s="39" t="n">
        <x:f>IF(C201&lt;0,1,0)</x:f>
        <x:v>0</x:v>
      </x:c>
      <x:c r="N201" s="1"/>
      <x:c r="O201" s="1"/>
      <x:c r="P201" s="1"/>
      <x:c r="Q201" s="1"/>
      <x:c r="R201" s="1"/>
    </x:row>
    <x:row r="202" ht="22" customHeight="1">
      <x:c r="A202" s="39" t="n">
        <x:v>156</x:v>
      </x:c>
      <x:c r="B202" s="39" t="n">
        <x:v>15600000000</x:v>
      </x:c>
      <x:c r="C202" s="39" t="n">
        <x:v>15600061330</x:v>
      </x:c>
      <x:c r="D202" s="39" t="n">
        <x:v>15600118697</x:v>
      </x:c>
      <x:c r="E202" s="39" t="n">
        <x:v>15600158917</x:v>
      </x:c>
      <x:c r="F202" s="39" t="n">
        <x:v>15600171102</x:v>
      </x:c>
      <x:c r="G202" s="39" t="n">
        <x:v>1</x:v>
      </x:c>
      <x:c r="H202" s="39" t="n">
        <x:v>1</x:v>
      </x:c>
      <x:c r="I202" s="39" t="n">
        <x:v>1</x:v>
      </x:c>
      <x:c r="J202" s="40" t="n">
        <x:f>B202/1000000000</x:f>
        <x:v>15.6</x:v>
      </x:c>
      <x:c r="K202" s="41" t="n">
        <x:f>IF(C202&lt;0,NA(),(F202-B202)/1000000)</x:f>
        <x:v>0.171102</x:v>
      </x:c>
      <x:c r="L202" s="39" t="n">
        <x:f>IF(C202&lt;0,1,IF(OR(G202=0,H202=0,I202=0,F202-B202&gt;100000000),1,0))</x:f>
        <x:v>0</x:v>
      </x:c>
      <x:c r="M202" s="39" t="n">
        <x:f>IF(C202&lt;0,1,0)</x:f>
        <x:v>0</x:v>
      </x:c>
      <x:c r="N202" s="1"/>
      <x:c r="O202" s="1"/>
      <x:c r="P202" s="1"/>
      <x:c r="Q202" s="1"/>
      <x:c r="R202" s="1"/>
    </x:row>
    <x:row r="203" ht="22" customHeight="1">
      <x:c r="A203" s="39" t="n">
        <x:v>157</x:v>
      </x:c>
      <x:c r="B203" s="39" t="n">
        <x:v>15700000000</x:v>
      </x:c>
      <x:c r="C203" s="39" t="n">
        <x:v>15700060656</x:v>
      </x:c>
      <x:c r="D203" s="39" t="n">
        <x:v>15700106746</x:v>
      </x:c>
      <x:c r="E203" s="39" t="n">
        <x:v>15700138781</x:v>
      </x:c>
      <x:c r="F203" s="39" t="n">
        <x:v>15700150095</x:v>
      </x:c>
      <x:c r="G203" s="39" t="n">
        <x:v>1</x:v>
      </x:c>
      <x:c r="H203" s="39" t="n">
        <x:v>1</x:v>
      </x:c>
      <x:c r="I203" s="39" t="n">
        <x:v>1</x:v>
      </x:c>
      <x:c r="J203" s="40" t="n">
        <x:f>B203/1000000000</x:f>
        <x:v>15.7</x:v>
      </x:c>
      <x:c r="K203" s="41" t="n">
        <x:f>IF(C203&lt;0,NA(),(F203-B203)/1000000)</x:f>
        <x:v>0.150095</x:v>
      </x:c>
      <x:c r="L203" s="39" t="n">
        <x:f>IF(C203&lt;0,1,IF(OR(G203=0,H203=0,I203=0,F203-B203&gt;100000000),1,0))</x:f>
        <x:v>0</x:v>
      </x:c>
      <x:c r="M203" s="39" t="n">
        <x:f>IF(C203&lt;0,1,0)</x:f>
        <x:v>0</x:v>
      </x:c>
      <x:c r="N203" s="1"/>
      <x:c r="O203" s="1"/>
      <x:c r="P203" s="1"/>
      <x:c r="Q203" s="1"/>
      <x:c r="R203" s="1"/>
    </x:row>
    <x:row r="204" ht="22" customHeight="1">
      <x:c r="A204" s="39" t="n">
        <x:v>158</x:v>
      </x:c>
      <x:c r="B204" s="39" t="n">
        <x:v>15800000000</x:v>
      </x:c>
      <x:c r="C204" s="39" t="n">
        <x:v>15800058907</x:v>
      </x:c>
      <x:c r="D204" s="39" t="n">
        <x:v>15800114070</x:v>
      </x:c>
      <x:c r="E204" s="39" t="n">
        <x:v>15800155753</x:v>
      </x:c>
      <x:c r="F204" s="39" t="n">
        <x:v>15800166864</x:v>
      </x:c>
      <x:c r="G204" s="39" t="n">
        <x:v>1</x:v>
      </x:c>
      <x:c r="H204" s="39" t="n">
        <x:v>1</x:v>
      </x:c>
      <x:c r="I204" s="39" t="n">
        <x:v>1</x:v>
      </x:c>
      <x:c r="J204" s="40" t="n">
        <x:f>B204/1000000000</x:f>
        <x:v>15.8</x:v>
      </x:c>
      <x:c r="K204" s="41" t="n">
        <x:f>IF(C204&lt;0,NA(),(F204-B204)/1000000)</x:f>
        <x:v>0.166864</x:v>
      </x:c>
      <x:c r="L204" s="39" t="n">
        <x:f>IF(C204&lt;0,1,IF(OR(G204=0,H204=0,I204=0,F204-B204&gt;100000000),1,0))</x:f>
        <x:v>0</x:v>
      </x:c>
      <x:c r="M204" s="39" t="n">
        <x:f>IF(C204&lt;0,1,0)</x:f>
        <x:v>0</x:v>
      </x:c>
      <x:c r="N204" s="1"/>
      <x:c r="O204" s="1"/>
      <x:c r="P204" s="1"/>
      <x:c r="Q204" s="1"/>
      <x:c r="R204" s="1"/>
    </x:row>
    <x:row r="205" ht="22" customHeight="1">
      <x:c r="A205" s="39" t="n">
        <x:v>159</x:v>
      </x:c>
      <x:c r="B205" s="39" t="n">
        <x:v>15900000000</x:v>
      </x:c>
      <x:c r="C205" s="39" t="n">
        <x:v>15900059661</x:v>
      </x:c>
      <x:c r="D205" s="39" t="n">
        <x:v>15900116399</x:v>
      </x:c>
      <x:c r="E205" s="39" t="n">
        <x:v>15900158285</x:v>
      </x:c>
      <x:c r="F205" s="39" t="n">
        <x:v>15900169322</x:v>
      </x:c>
      <x:c r="G205" s="39" t="n">
        <x:v>1</x:v>
      </x:c>
      <x:c r="H205" s="39" t="n">
        <x:v>1</x:v>
      </x:c>
      <x:c r="I205" s="39" t="n">
        <x:v>1</x:v>
      </x:c>
      <x:c r="J205" s="40" t="n">
        <x:f>B205/1000000000</x:f>
        <x:v>15.9</x:v>
      </x:c>
      <x:c r="K205" s="41" t="n">
        <x:f>IF(C205&lt;0,NA(),(F205-B205)/1000000)</x:f>
        <x:v>0.169322</x:v>
      </x:c>
      <x:c r="L205" s="39" t="n">
        <x:f>IF(C205&lt;0,1,IF(OR(G205=0,H205=0,I205=0,F205-B205&gt;100000000),1,0))</x:f>
        <x:v>0</x:v>
      </x:c>
      <x:c r="M205" s="39" t="n">
        <x:f>IF(C205&lt;0,1,0)</x:f>
        <x:v>0</x:v>
      </x:c>
      <x:c r="N205" s="1"/>
      <x:c r="O205" s="1"/>
      <x:c r="P205" s="1"/>
      <x:c r="Q205" s="1"/>
      <x:c r="R205" s="1"/>
    </x:row>
    <x:row r="206" ht="22" customHeight="1">
      <x:c r="A206" s="39" t="n">
        <x:v>160</x:v>
      </x:c>
      <x:c r="B206" s="39" t="n">
        <x:v>16000000000</x:v>
      </x:c>
      <x:c r="C206" s="39" t="n">
        <x:v>16000061343</x:v>
      </x:c>
      <x:c r="D206" s="39" t="n">
        <x:v>16000120007</x:v>
      </x:c>
      <x:c r="E206" s="39" t="n">
        <x:v>16000158449</x:v>
      </x:c>
      <x:c r="F206" s="39" t="n">
        <x:v>16000169948</x:v>
      </x:c>
      <x:c r="G206" s="39" t="n">
        <x:v>1</x:v>
      </x:c>
      <x:c r="H206" s="39" t="n">
        <x:v>1</x:v>
      </x:c>
      <x:c r="I206" s="39" t="n">
        <x:v>1</x:v>
      </x:c>
      <x:c r="J206" s="40" t="n">
        <x:f>B206/1000000000</x:f>
        <x:v>16</x:v>
      </x:c>
      <x:c r="K206" s="41" t="n">
        <x:f>IF(C206&lt;0,NA(),(F206-B206)/1000000)</x:f>
        <x:v>0.169948</x:v>
      </x:c>
      <x:c r="L206" s="39" t="n">
        <x:f>IF(C206&lt;0,1,IF(OR(G206=0,H206=0,I206=0,F206-B206&gt;100000000),1,0))</x:f>
        <x:v>0</x:v>
      </x:c>
      <x:c r="M206" s="39" t="n">
        <x:f>IF(C206&lt;0,1,0)</x:f>
        <x:v>0</x:v>
      </x:c>
      <x:c r="N206" s="1"/>
      <x:c r="O206" s="1"/>
      <x:c r="P206" s="1"/>
      <x:c r="Q206" s="1"/>
      <x:c r="R206" s="1"/>
    </x:row>
    <x:row r="207" ht="22" customHeight="1">
      <x:c r="A207" s="39" t="n">
        <x:v>161</x:v>
      </x:c>
      <x:c r="B207" s="39" t="n">
        <x:v>16100000000</x:v>
      </x:c>
      <x:c r="C207" s="39" t="n">
        <x:v>16100060896</x:v>
      </x:c>
      <x:c r="D207" s="39" t="n">
        <x:v>16100107263</x:v>
      </x:c>
      <x:c r="E207" s="39" t="n">
        <x:v>16100143632</x:v>
      </x:c>
      <x:c r="F207" s="39" t="n">
        <x:v>16100154150</x:v>
      </x:c>
      <x:c r="G207" s="39" t="n">
        <x:v>1</x:v>
      </x:c>
      <x:c r="H207" s="39" t="n">
        <x:v>1</x:v>
      </x:c>
      <x:c r="I207" s="39" t="n">
        <x:v>1</x:v>
      </x:c>
      <x:c r="J207" s="40" t="n">
        <x:f>B207/1000000000</x:f>
        <x:v>16.1</x:v>
      </x:c>
      <x:c r="K207" s="41" t="n">
        <x:f>IF(C207&lt;0,NA(),(F207-B207)/1000000)</x:f>
        <x:v>0.15415</x:v>
      </x:c>
      <x:c r="L207" s="39" t="n">
        <x:f>IF(C207&lt;0,1,IF(OR(G207=0,H207=0,I207=0,F207-B207&gt;100000000),1,0))</x:f>
        <x:v>0</x:v>
      </x:c>
      <x:c r="M207" s="39" t="n">
        <x:f>IF(C207&lt;0,1,0)</x:f>
        <x:v>0</x:v>
      </x:c>
      <x:c r="N207" s="1"/>
      <x:c r="O207" s="1"/>
      <x:c r="P207" s="1"/>
      <x:c r="Q207" s="1"/>
      <x:c r="R207" s="1"/>
    </x:row>
    <x:row r="208" ht="22" customHeight="1">
      <x:c r="A208" s="39" t="n">
        <x:v>162</x:v>
      </x:c>
      <x:c r="B208" s="39" t="n">
        <x:v>16200000000</x:v>
      </x:c>
      <x:c r="C208" s="39" t="n">
        <x:v>16200062837</x:v>
      </x:c>
      <x:c r="D208" s="39" t="n">
        <x:v>16200119926</x:v>
      </x:c>
      <x:c r="E208" s="39" t="n">
        <x:v>16200162757</x:v>
      </x:c>
      <x:c r="F208" s="39" t="n">
        <x:v>16200173701</x:v>
      </x:c>
      <x:c r="G208" s="39" t="n">
        <x:v>1</x:v>
      </x:c>
      <x:c r="H208" s="39" t="n">
        <x:v>1</x:v>
      </x:c>
      <x:c r="I208" s="39" t="n">
        <x:v>1</x:v>
      </x:c>
      <x:c r="J208" s="40" t="n">
        <x:f>B208/1000000000</x:f>
        <x:v>16.2</x:v>
      </x:c>
      <x:c r="K208" s="41" t="n">
        <x:f>IF(C208&lt;0,NA(),(F208-B208)/1000000)</x:f>
        <x:v>0.173701</x:v>
      </x:c>
      <x:c r="L208" s="39" t="n">
        <x:f>IF(C208&lt;0,1,IF(OR(G208=0,H208=0,I208=0,F208-B208&gt;100000000),1,0))</x:f>
        <x:v>0</x:v>
      </x:c>
      <x:c r="M208" s="39" t="n">
        <x:f>IF(C208&lt;0,1,0)</x:f>
        <x:v>0</x:v>
      </x:c>
      <x:c r="N208" s="1"/>
      <x:c r="O208" s="1"/>
      <x:c r="P208" s="1"/>
      <x:c r="Q208" s="1"/>
      <x:c r="R208" s="1"/>
    </x:row>
    <x:row r="209" ht="22" customHeight="1">
      <x:c r="A209" s="39" t="n">
        <x:v>163</x:v>
      </x:c>
      <x:c r="B209" s="39" t="n">
        <x:v>16300000000</x:v>
      </x:c>
      <x:c r="C209" s="39" t="n">
        <x:v>16300059482</x:v>
      </x:c>
      <x:c r="D209" s="39" t="n">
        <x:v>16300103091</x:v>
      </x:c>
      <x:c r="E209" s="39" t="n">
        <x:v>16300137237</x:v>
      </x:c>
      <x:c r="F209" s="39" t="n">
        <x:v>16300147940</x:v>
      </x:c>
      <x:c r="G209" s="39" t="n">
        <x:v>1</x:v>
      </x:c>
      <x:c r="H209" s="39" t="n">
        <x:v>1</x:v>
      </x:c>
      <x:c r="I209" s="39" t="n">
        <x:v>1</x:v>
      </x:c>
      <x:c r="J209" s="40" t="n">
        <x:f>B209/1000000000</x:f>
        <x:v>16.3</x:v>
      </x:c>
      <x:c r="K209" s="41" t="n">
        <x:f>IF(C209&lt;0,NA(),(F209-B209)/1000000)</x:f>
        <x:v>0.14794</x:v>
      </x:c>
      <x:c r="L209" s="39" t="n">
        <x:f>IF(C209&lt;0,1,IF(OR(G209=0,H209=0,I209=0,F209-B209&gt;100000000),1,0))</x:f>
        <x:v>0</x:v>
      </x:c>
      <x:c r="M209" s="39" t="n">
        <x:f>IF(C209&lt;0,1,0)</x:f>
        <x:v>0</x:v>
      </x:c>
      <x:c r="N209" s="1"/>
      <x:c r="O209" s="1"/>
      <x:c r="P209" s="1"/>
      <x:c r="Q209" s="1"/>
      <x:c r="R209" s="1"/>
    </x:row>
    <x:row r="210" ht="22" customHeight="1">
      <x:c r="A210" s="39" t="n">
        <x:v>164</x:v>
      </x:c>
      <x:c r="B210" s="39" t="n">
        <x:v>16400000000</x:v>
      </x:c>
      <x:c r="C210" s="39" t="n">
        <x:v>16400063238</x:v>
      </x:c>
      <x:c r="D210" s="39" t="n">
        <x:v>16400146641</x:v>
      </x:c>
      <x:c r="E210" s="39" t="n">
        <x:v>16400211786</x:v>
      </x:c>
      <x:c r="F210" s="39" t="n">
        <x:v>16400225285</x:v>
      </x:c>
      <x:c r="G210" s="39" t="n">
        <x:v>1</x:v>
      </x:c>
      <x:c r="H210" s="39" t="n">
        <x:v>1</x:v>
      </x:c>
      <x:c r="I210" s="39" t="n">
        <x:v>1</x:v>
      </x:c>
      <x:c r="J210" s="40" t="n">
        <x:f>B210/1000000000</x:f>
        <x:v>16.4</x:v>
      </x:c>
      <x:c r="K210" s="41" t="n">
        <x:f>IF(C210&lt;0,NA(),(F210-B210)/1000000)</x:f>
        <x:v>0.225285</x:v>
      </x:c>
      <x:c r="L210" s="39" t="n">
        <x:f>IF(C210&lt;0,1,IF(OR(G210=0,H210=0,I210=0,F210-B210&gt;100000000),1,0))</x:f>
        <x:v>0</x:v>
      </x:c>
      <x:c r="M210" s="39" t="n">
        <x:f>IF(C210&lt;0,1,0)</x:f>
        <x:v>0</x:v>
      </x:c>
      <x:c r="N210" s="1"/>
      <x:c r="O210" s="1"/>
      <x:c r="P210" s="1"/>
      <x:c r="Q210" s="1"/>
      <x:c r="R210" s="1"/>
    </x:row>
    <x:row r="211" ht="22" customHeight="1">
      <x:c r="A211" s="39" t="n">
        <x:v>165</x:v>
      </x:c>
      <x:c r="B211" s="39" t="n">
        <x:v>16500000000</x:v>
      </x:c>
      <x:c r="C211" s="39" t="n">
        <x:v>16500061587</x:v>
      </x:c>
      <x:c r="D211" s="39" t="n">
        <x:v>16500107122</x:v>
      </x:c>
      <x:c r="E211" s="39" t="n">
        <x:v>16500146656</x:v>
      </x:c>
      <x:c r="F211" s="39" t="n">
        <x:v>16500157489</x:v>
      </x:c>
      <x:c r="G211" s="39" t="n">
        <x:v>1</x:v>
      </x:c>
      <x:c r="H211" s="39" t="n">
        <x:v>1</x:v>
      </x:c>
      <x:c r="I211" s="39" t="n">
        <x:v>1</x:v>
      </x:c>
      <x:c r="J211" s="40" t="n">
        <x:f>B211/1000000000</x:f>
        <x:v>16.5</x:v>
      </x:c>
      <x:c r="K211" s="41" t="n">
        <x:f>IF(C211&lt;0,NA(),(F211-B211)/1000000)</x:f>
        <x:v>0.157489</x:v>
      </x:c>
      <x:c r="L211" s="39" t="n">
        <x:f>IF(C211&lt;0,1,IF(OR(G211=0,H211=0,I211=0,F211-B211&gt;100000000),1,0))</x:f>
        <x:v>0</x:v>
      </x:c>
      <x:c r="M211" s="39" t="n">
        <x:f>IF(C211&lt;0,1,0)</x:f>
        <x:v>0</x:v>
      </x:c>
      <x:c r="N211" s="1"/>
      <x:c r="O211" s="1"/>
      <x:c r="P211" s="1"/>
      <x:c r="Q211" s="1"/>
      <x:c r="R211" s="1"/>
    </x:row>
    <x:row r="212" ht="22" customHeight="1">
      <x:c r="A212" s="39" t="n">
        <x:v>166</x:v>
      </x:c>
      <x:c r="B212" s="39" t="n">
        <x:v>16600000000</x:v>
      </x:c>
      <x:c r="C212" s="39" t="n">
        <x:v>16600064028</x:v>
      </x:c>
      <x:c r="D212" s="39" t="n">
        <x:v>16600115599</x:v>
      </x:c>
      <x:c r="E212" s="39" t="n">
        <x:v>16600156171</x:v>
      </x:c>
      <x:c r="F212" s="39" t="n">
        <x:v>16600167078</x:v>
      </x:c>
      <x:c r="G212" s="39" t="n">
        <x:v>1</x:v>
      </x:c>
      <x:c r="H212" s="39" t="n">
        <x:v>1</x:v>
      </x:c>
      <x:c r="I212" s="39" t="n">
        <x:v>1</x:v>
      </x:c>
      <x:c r="J212" s="40" t="n">
        <x:f>B212/1000000000</x:f>
        <x:v>16.6</x:v>
      </x:c>
      <x:c r="K212" s="41" t="n">
        <x:f>IF(C212&lt;0,NA(),(F212-B212)/1000000)</x:f>
        <x:v>0.167078</x:v>
      </x:c>
      <x:c r="L212" s="39" t="n">
        <x:f>IF(C212&lt;0,1,IF(OR(G212=0,H212=0,I212=0,F212-B212&gt;100000000),1,0))</x:f>
        <x:v>0</x:v>
      </x:c>
      <x:c r="M212" s="39" t="n">
        <x:f>IF(C212&lt;0,1,0)</x:f>
        <x:v>0</x:v>
      </x:c>
      <x:c r="N212" s="1"/>
      <x:c r="O212" s="1"/>
      <x:c r="P212" s="1"/>
      <x:c r="Q212" s="1"/>
      <x:c r="R212" s="1"/>
    </x:row>
    <x:row r="213" ht="22" customHeight="1">
      <x:c r="A213" s="39" t="n">
        <x:v>167</x:v>
      </x:c>
      <x:c r="B213" s="39" t="n">
        <x:v>16700000000</x:v>
      </x:c>
      <x:c r="C213" s="39" t="n">
        <x:v>16700073895</x:v>
      </x:c>
      <x:c r="D213" s="39" t="n">
        <x:v>16700151539</x:v>
      </x:c>
      <x:c r="E213" s="39" t="n">
        <x:v>16700211499</x:v>
      </x:c>
      <x:c r="F213" s="39" t="n">
        <x:v>16700223165</x:v>
      </x:c>
      <x:c r="G213" s="39" t="n">
        <x:v>1</x:v>
      </x:c>
      <x:c r="H213" s="39" t="n">
        <x:v>1</x:v>
      </x:c>
      <x:c r="I213" s="39" t="n">
        <x:v>1</x:v>
      </x:c>
      <x:c r="J213" s="40" t="n">
        <x:f>B213/1000000000</x:f>
        <x:v>16.7</x:v>
      </x:c>
      <x:c r="K213" s="41" t="n">
        <x:f>IF(C213&lt;0,NA(),(F213-B213)/1000000)</x:f>
        <x:v>0.223165</x:v>
      </x:c>
      <x:c r="L213" s="39" t="n">
        <x:f>IF(C213&lt;0,1,IF(OR(G213=0,H213=0,I213=0,F213-B213&gt;100000000),1,0))</x:f>
        <x:v>0</x:v>
      </x:c>
      <x:c r="M213" s="39" t="n">
        <x:f>IF(C213&lt;0,1,0)</x:f>
        <x:v>0</x:v>
      </x:c>
      <x:c r="N213" s="1"/>
      <x:c r="O213" s="1"/>
      <x:c r="P213" s="1"/>
      <x:c r="Q213" s="1"/>
      <x:c r="R213" s="1"/>
    </x:row>
    <x:row r="214" ht="22" customHeight="1">
      <x:c r="A214" s="39" t="n">
        <x:v>168</x:v>
      </x:c>
      <x:c r="B214" s="39" t="n">
        <x:v>16800000000</x:v>
      </x:c>
      <x:c r="C214" s="39" t="n">
        <x:v>16800063337</x:v>
      </x:c>
      <x:c r="D214" s="39" t="n">
        <x:v>16800120223</x:v>
      </x:c>
      <x:c r="E214" s="39" t="n">
        <x:v>16800160628</x:v>
      </x:c>
      <x:c r="F214" s="39" t="n">
        <x:v>16800171720</x:v>
      </x:c>
      <x:c r="G214" s="39" t="n">
        <x:v>1</x:v>
      </x:c>
      <x:c r="H214" s="39" t="n">
        <x:v>1</x:v>
      </x:c>
      <x:c r="I214" s="39" t="n">
        <x:v>1</x:v>
      </x:c>
      <x:c r="J214" s="40" t="n">
        <x:f>B214/1000000000</x:f>
        <x:v>16.8</x:v>
      </x:c>
      <x:c r="K214" s="41" t="n">
        <x:f>IF(C214&lt;0,NA(),(F214-B214)/1000000)</x:f>
        <x:v>0.17172</x:v>
      </x:c>
      <x:c r="L214" s="39" t="n">
        <x:f>IF(C214&lt;0,1,IF(OR(G214=0,H214=0,I214=0,F214-B214&gt;100000000),1,0))</x:f>
        <x:v>0</x:v>
      </x:c>
      <x:c r="M214" s="39" t="n">
        <x:f>IF(C214&lt;0,1,0)</x:f>
        <x:v>0</x:v>
      </x:c>
      <x:c r="N214" s="1"/>
      <x:c r="O214" s="1"/>
      <x:c r="P214" s="1"/>
      <x:c r="Q214" s="1"/>
      <x:c r="R214" s="1"/>
    </x:row>
    <x:row r="215" ht="22" customHeight="1">
      <x:c r="A215" s="39" t="n">
        <x:v>169</x:v>
      </x:c>
      <x:c r="B215" s="39" t="n">
        <x:v>16900000000</x:v>
      </x:c>
      <x:c r="C215" s="39" t="n">
        <x:v>16900086162</x:v>
      </x:c>
      <x:c r="D215" s="39" t="n">
        <x:v>16900141196</x:v>
      </x:c>
      <x:c r="E215" s="39" t="n">
        <x:v>16900178861</x:v>
      </x:c>
      <x:c r="F215" s="39" t="n">
        <x:v>16900191156</x:v>
      </x:c>
      <x:c r="G215" s="39" t="n">
        <x:v>1</x:v>
      </x:c>
      <x:c r="H215" s="39" t="n">
        <x:v>1</x:v>
      </x:c>
      <x:c r="I215" s="39" t="n">
        <x:v>1</x:v>
      </x:c>
      <x:c r="J215" s="40" t="n">
        <x:f>B215/1000000000</x:f>
        <x:v>16.9</x:v>
      </x:c>
      <x:c r="K215" s="41" t="n">
        <x:f>IF(C215&lt;0,NA(),(F215-B215)/1000000)</x:f>
        <x:v>0.191156</x:v>
      </x:c>
      <x:c r="L215" s="39" t="n">
        <x:f>IF(C215&lt;0,1,IF(OR(G215=0,H215=0,I215=0,F215-B215&gt;100000000),1,0))</x:f>
        <x:v>0</x:v>
      </x:c>
      <x:c r="M215" s="39" t="n">
        <x:f>IF(C215&lt;0,1,0)</x:f>
        <x:v>0</x:v>
      </x:c>
      <x:c r="N215" s="1"/>
      <x:c r="O215" s="1"/>
      <x:c r="P215" s="1"/>
      <x:c r="Q215" s="1"/>
      <x:c r="R215" s="1"/>
    </x:row>
    <x:row r="216" ht="22" customHeight="1">
      <x:c r="A216" s="39" t="n">
        <x:v>170</x:v>
      </x:c>
      <x:c r="B216" s="39" t="n">
        <x:v>17000000000</x:v>
      </x:c>
      <x:c r="C216" s="39" t="n">
        <x:v>17000066906</x:v>
      </x:c>
      <x:c r="D216" s="39" t="n">
        <x:v>17000100275</x:v>
      </x:c>
      <x:c r="E216" s="39" t="n">
        <x:v>17000137773</x:v>
      </x:c>
      <x:c r="F216" s="39" t="n">
        <x:v>17000149087</x:v>
      </x:c>
      <x:c r="G216" s="39" t="n">
        <x:v>1</x:v>
      </x:c>
      <x:c r="H216" s="39" t="n">
        <x:v>1</x:v>
      </x:c>
      <x:c r="I216" s="39" t="n">
        <x:v>1</x:v>
      </x:c>
      <x:c r="J216" s="40" t="n">
        <x:f>B216/1000000000</x:f>
        <x:v>17</x:v>
      </x:c>
      <x:c r="K216" s="41" t="n">
        <x:f>IF(C216&lt;0,NA(),(F216-B216)/1000000)</x:f>
        <x:v>0.149087</x:v>
      </x:c>
      <x:c r="L216" s="39" t="n">
        <x:f>IF(C216&lt;0,1,IF(OR(G216=0,H216=0,I216=0,F216-B216&gt;100000000),1,0))</x:f>
        <x:v>0</x:v>
      </x:c>
      <x:c r="M216" s="39" t="n">
        <x:f>IF(C216&lt;0,1,0)</x:f>
        <x:v>0</x:v>
      </x:c>
      <x:c r="N216" s="1"/>
      <x:c r="O216" s="1"/>
      <x:c r="P216" s="1"/>
      <x:c r="Q216" s="1"/>
      <x:c r="R216" s="1"/>
    </x:row>
    <x:row r="217" ht="22" customHeight="1">
      <x:c r="A217" s="39" t="n">
        <x:v>171</x:v>
      </x:c>
      <x:c r="B217" s="39" t="n">
        <x:v>17100000000</x:v>
      </x:c>
      <x:c r="C217" s="39" t="n">
        <x:v>17100061372</x:v>
      </x:c>
      <x:c r="D217" s="39" t="n">
        <x:v>17100121258</x:v>
      </x:c>
      <x:c r="E217" s="39" t="n">
        <x:v>17100164663</x:v>
      </x:c>
      <x:c r="F217" s="39" t="n">
        <x:v>17100177515</x:v>
      </x:c>
      <x:c r="G217" s="39" t="n">
        <x:v>1</x:v>
      </x:c>
      <x:c r="H217" s="39" t="n">
        <x:v>1</x:v>
      </x:c>
      <x:c r="I217" s="39" t="n">
        <x:v>1</x:v>
      </x:c>
      <x:c r="J217" s="40" t="n">
        <x:f>B217/1000000000</x:f>
        <x:v>17.1</x:v>
      </x:c>
      <x:c r="K217" s="41" t="n">
        <x:f>IF(C217&lt;0,NA(),(F217-B217)/1000000)</x:f>
        <x:v>0.177515</x:v>
      </x:c>
      <x:c r="L217" s="39" t="n">
        <x:f>IF(C217&lt;0,1,IF(OR(G217=0,H217=0,I217=0,F217-B217&gt;100000000),1,0))</x:f>
        <x:v>0</x:v>
      </x:c>
      <x:c r="M217" s="39" t="n">
        <x:f>IF(C217&lt;0,1,0)</x:f>
        <x:v>0</x:v>
      </x:c>
      <x:c r="N217" s="1"/>
      <x:c r="O217" s="1"/>
      <x:c r="P217" s="1"/>
      <x:c r="Q217" s="1"/>
      <x:c r="R217" s="1"/>
    </x:row>
    <x:row r="218" ht="22" customHeight="1">
      <x:c r="A218" s="39" t="n">
        <x:v>172</x:v>
      </x:c>
      <x:c r="B218" s="39" t="n">
        <x:v>17200000000</x:v>
      </x:c>
      <x:c r="C218" s="39" t="n">
        <x:v>17200075171</x:v>
      </x:c>
      <x:c r="D218" s="39" t="n">
        <x:v>17200213016</x:v>
      </x:c>
      <x:c r="E218" s="39" t="n">
        <x:v>17200313918</x:v>
      </x:c>
      <x:c r="F218" s="39" t="n">
        <x:v>17200331121</x:v>
      </x:c>
      <x:c r="G218" s="39" t="n">
        <x:v>1</x:v>
      </x:c>
      <x:c r="H218" s="39" t="n">
        <x:v>1</x:v>
      </x:c>
      <x:c r="I218" s="39" t="n">
        <x:v>1</x:v>
      </x:c>
      <x:c r="J218" s="40" t="n">
        <x:f>B218/1000000000</x:f>
        <x:v>17.2</x:v>
      </x:c>
      <x:c r="K218" s="41" t="n">
        <x:f>IF(C218&lt;0,NA(),(F218-B218)/1000000)</x:f>
        <x:v>0.331121</x:v>
      </x:c>
      <x:c r="L218" s="39" t="n">
        <x:f>IF(C218&lt;0,1,IF(OR(G218=0,H218=0,I218=0,F218-B218&gt;100000000),1,0))</x:f>
        <x:v>0</x:v>
      </x:c>
      <x:c r="M218" s="39" t="n">
        <x:f>IF(C218&lt;0,1,0)</x:f>
        <x:v>0</x:v>
      </x:c>
      <x:c r="N218" s="1"/>
      <x:c r="O218" s="1"/>
      <x:c r="P218" s="1"/>
      <x:c r="Q218" s="1"/>
      <x:c r="R218" s="1"/>
    </x:row>
    <x:row r="219" ht="22" customHeight="1">
      <x:c r="A219" s="39" t="n">
        <x:v>173</x:v>
      </x:c>
      <x:c r="B219" s="39" t="n">
        <x:v>17300000000</x:v>
      </x:c>
      <x:c r="C219" s="39" t="n">
        <x:v>17300071174</x:v>
      </x:c>
      <x:c r="D219" s="39" t="n">
        <x:v>17300139633</x:v>
      </x:c>
      <x:c r="E219" s="39" t="n">
        <x:v>17300187001</x:v>
      </x:c>
      <x:c r="F219" s="39" t="n">
        <x:v>17300202630</x:v>
      </x:c>
      <x:c r="G219" s="39" t="n">
        <x:v>1</x:v>
      </x:c>
      <x:c r="H219" s="39" t="n">
        <x:v>1</x:v>
      </x:c>
      <x:c r="I219" s="39" t="n">
        <x:v>1</x:v>
      </x:c>
      <x:c r="J219" s="40" t="n">
        <x:f>B219/1000000000</x:f>
        <x:v>17.3</x:v>
      </x:c>
      <x:c r="K219" s="41" t="n">
        <x:f>IF(C219&lt;0,NA(),(F219-B219)/1000000)</x:f>
        <x:v>0.20263</x:v>
      </x:c>
      <x:c r="L219" s="39" t="n">
        <x:f>IF(C219&lt;0,1,IF(OR(G219=0,H219=0,I219=0,F219-B219&gt;100000000),1,0))</x:f>
        <x:v>0</x:v>
      </x:c>
      <x:c r="M219" s="39" t="n">
        <x:f>IF(C219&lt;0,1,0)</x:f>
        <x:v>0</x:v>
      </x:c>
      <x:c r="N219" s="1"/>
      <x:c r="O219" s="1"/>
      <x:c r="P219" s="1"/>
      <x:c r="Q219" s="1"/>
      <x:c r="R219" s="1"/>
    </x:row>
    <x:row r="220" ht="22" customHeight="1">
      <x:c r="A220" s="39" t="n">
        <x:v>174</x:v>
      </x:c>
      <x:c r="B220" s="39" t="n">
        <x:v>17400000000</x:v>
      </x:c>
      <x:c r="C220" s="39" t="n">
        <x:v>17400099286</x:v>
      </x:c>
      <x:c r="D220" s="39" t="n">
        <x:v>17400321367</x:v>
      </x:c>
      <x:c r="E220" s="39" t="n">
        <x:v>17400470026</x:v>
      </x:c>
      <x:c r="F220" s="39" t="n">
        <x:v>17400487600</x:v>
      </x:c>
      <x:c r="G220" s="39" t="n">
        <x:v>1</x:v>
      </x:c>
      <x:c r="H220" s="39" t="n">
        <x:v>1</x:v>
      </x:c>
      <x:c r="I220" s="39" t="n">
        <x:v>1</x:v>
      </x:c>
      <x:c r="J220" s="40" t="n">
        <x:f>B220/1000000000</x:f>
        <x:v>17.4</x:v>
      </x:c>
      <x:c r="K220" s="41" t="n">
        <x:f>IF(C220&lt;0,NA(),(F220-B220)/1000000)</x:f>
        <x:v>0.4876</x:v>
      </x:c>
      <x:c r="L220" s="39" t="n">
        <x:f>IF(C220&lt;0,1,IF(OR(G220=0,H220=0,I220=0,F220-B220&gt;100000000),1,0))</x:f>
        <x:v>0</x:v>
      </x:c>
      <x:c r="M220" s="39" t="n">
        <x:f>IF(C220&lt;0,1,0)</x:f>
        <x:v>0</x:v>
      </x:c>
      <x:c r="N220" s="1"/>
      <x:c r="O220" s="1"/>
      <x:c r="P220" s="1"/>
      <x:c r="Q220" s="1"/>
      <x:c r="R220" s="1"/>
    </x:row>
    <x:row r="221" ht="22" customHeight="1">
      <x:c r="A221" s="39" t="n">
        <x:v>175</x:v>
      </x:c>
      <x:c r="B221" s="39" t="n">
        <x:v>17500000000</x:v>
      </x:c>
      <x:c r="C221" s="39" t="n">
        <x:v>17500128121</x:v>
      </x:c>
      <x:c r="D221" s="39" t="n">
        <x:v>17500348239</x:v>
      </x:c>
      <x:c r="E221" s="39" t="n">
        <x:v>17500514490</x:v>
      </x:c>
      <x:c r="F221" s="39" t="n">
        <x:v>17500537618</x:v>
      </x:c>
      <x:c r="G221" s="39" t="n">
        <x:v>1</x:v>
      </x:c>
      <x:c r="H221" s="39" t="n">
        <x:v>1</x:v>
      </x:c>
      <x:c r="I221" s="39" t="n">
        <x:v>1</x:v>
      </x:c>
      <x:c r="J221" s="40" t="n">
        <x:f>B221/1000000000</x:f>
        <x:v>17.5</x:v>
      </x:c>
      <x:c r="K221" s="41" t="n">
        <x:f>IF(C221&lt;0,NA(),(F221-B221)/1000000)</x:f>
        <x:v>0.537618</x:v>
      </x:c>
      <x:c r="L221" s="39" t="n">
        <x:f>IF(C221&lt;0,1,IF(OR(G221=0,H221=0,I221=0,F221-B221&gt;100000000),1,0))</x:f>
        <x:v>0</x:v>
      </x:c>
      <x:c r="M221" s="39" t="n">
        <x:f>IF(C221&lt;0,1,0)</x:f>
        <x:v>0</x:v>
      </x:c>
      <x:c r="N221" s="1"/>
      <x:c r="O221" s="1"/>
      <x:c r="P221" s="1"/>
      <x:c r="Q221" s="1"/>
      <x:c r="R221" s="1"/>
    </x:row>
    <x:row r="222" ht="22" customHeight="1">
      <x:c r="A222" s="39" t="n">
        <x:v>176</x:v>
      </x:c>
      <x:c r="B222" s="39" t="n">
        <x:v>17600000000</x:v>
      </x:c>
      <x:c r="C222" s="39" t="n">
        <x:v>17600064831</x:v>
      </x:c>
      <x:c r="D222" s="39" t="n">
        <x:v>17600162159</x:v>
      </x:c>
      <x:c r="E222" s="39" t="n">
        <x:v>17600226730</x:v>
      </x:c>
      <x:c r="F222" s="39" t="n">
        <x:v>17600240007</x:v>
      </x:c>
      <x:c r="G222" s="39" t="n">
        <x:v>1</x:v>
      </x:c>
      <x:c r="H222" s="39" t="n">
        <x:v>1</x:v>
      </x:c>
      <x:c r="I222" s="39" t="n">
        <x:v>1</x:v>
      </x:c>
      <x:c r="J222" s="40" t="n">
        <x:f>B222/1000000000</x:f>
        <x:v>17.6</x:v>
      </x:c>
      <x:c r="K222" s="41" t="n">
        <x:f>IF(C222&lt;0,NA(),(F222-B222)/1000000)</x:f>
        <x:v>0.240007</x:v>
      </x:c>
      <x:c r="L222" s="39" t="n">
        <x:f>IF(C222&lt;0,1,IF(OR(G222=0,H222=0,I222=0,F222-B222&gt;100000000),1,0))</x:f>
        <x:v>0</x:v>
      </x:c>
      <x:c r="M222" s="39" t="n">
        <x:f>IF(C222&lt;0,1,0)</x:f>
        <x:v>0</x:v>
      </x:c>
      <x:c r="N222" s="1"/>
      <x:c r="O222" s="1"/>
      <x:c r="P222" s="1"/>
      <x:c r="Q222" s="1"/>
      <x:c r="R222" s="1"/>
    </x:row>
    <x:row r="223" ht="22" customHeight="1">
      <x:c r="A223" s="39" t="n">
        <x:v>177</x:v>
      </x:c>
      <x:c r="B223" s="39" t="n">
        <x:v>17700000000</x:v>
      </x:c>
      <x:c r="C223" s="39" t="n">
        <x:v>17700057723</x:v>
      </x:c>
      <x:c r="D223" s="39" t="n">
        <x:v>17700075314</x:v>
      </x:c>
      <x:c r="E223" s="39" t="n">
        <x:v>17700094628</x:v>
      </x:c>
      <x:c r="F223" s="39" t="n">
        <x:v>17700104702</x:v>
      </x:c>
      <x:c r="G223" s="39" t="n">
        <x:v>1</x:v>
      </x:c>
      <x:c r="H223" s="39" t="n">
        <x:v>1</x:v>
      </x:c>
      <x:c r="I223" s="39" t="n">
        <x:v>1</x:v>
      </x:c>
      <x:c r="J223" s="40" t="n">
        <x:f>B223/1000000000</x:f>
        <x:v>17.7</x:v>
      </x:c>
      <x:c r="K223" s="41" t="n">
        <x:f>IF(C223&lt;0,NA(),(F223-B223)/1000000)</x:f>
        <x:v>0.104702</x:v>
      </x:c>
      <x:c r="L223" s="39" t="n">
        <x:f>IF(C223&lt;0,1,IF(OR(G223=0,H223=0,I223=0,F223-B223&gt;100000000),1,0))</x:f>
        <x:v>0</x:v>
      </x:c>
      <x:c r="M223" s="39" t="n">
        <x:f>IF(C223&lt;0,1,0)</x:f>
        <x:v>0</x:v>
      </x:c>
      <x:c r="N223" s="1"/>
      <x:c r="O223" s="1"/>
      <x:c r="P223" s="1"/>
      <x:c r="Q223" s="1"/>
      <x:c r="R223" s="1"/>
    </x:row>
    <x:row r="224" ht="22" customHeight="1">
      <x:c r="A224" s="39" t="n">
        <x:v>178</x:v>
      </x:c>
      <x:c r="B224" s="39" t="n">
        <x:v>17800000000</x:v>
      </x:c>
      <x:c r="C224" s="39" t="n">
        <x:v>17800050633</x:v>
      </x:c>
      <x:c r="D224" s="39" t="n">
        <x:v>17800059299</x:v>
      </x:c>
      <x:c r="E224" s="39" t="n">
        <x:v>17800068706</x:v>
      </x:c>
      <x:c r="F224" s="39" t="n">
        <x:v>17800078113</x:v>
      </x:c>
      <x:c r="G224" s="39" t="n">
        <x:v>1</x:v>
      </x:c>
      <x:c r="H224" s="39" t="n">
        <x:v>1</x:v>
      </x:c>
      <x:c r="I224" s="39" t="n">
        <x:v>1</x:v>
      </x:c>
      <x:c r="J224" s="40" t="n">
        <x:f>B224/1000000000</x:f>
        <x:v>17.8</x:v>
      </x:c>
      <x:c r="K224" s="41" t="n">
        <x:f>IF(C224&lt;0,NA(),(F224-B224)/1000000)</x:f>
        <x:v>0.078113</x:v>
      </x:c>
      <x:c r="L224" s="39" t="n">
        <x:f>IF(C224&lt;0,1,IF(OR(G224=0,H224=0,I224=0,F224-B224&gt;100000000),1,0))</x:f>
        <x:v>0</x:v>
      </x:c>
      <x:c r="M224" s="39" t="n">
        <x:f>IF(C224&lt;0,1,0)</x:f>
        <x:v>0</x:v>
      </x:c>
      <x:c r="N224" s="1"/>
      <x:c r="O224" s="1"/>
      <x:c r="P224" s="1"/>
      <x:c r="Q224" s="1"/>
      <x:c r="R224" s="1"/>
    </x:row>
    <x:row r="225" ht="22" customHeight="1">
      <x:c r="A225" s="39" t="n">
        <x:v>179</x:v>
      </x:c>
      <x:c r="B225" s="39" t="n">
        <x:v>17900000000</x:v>
      </x:c>
      <x:c r="C225" s="39" t="n">
        <x:v>17900056125</x:v>
      </x:c>
      <x:c r="D225" s="39" t="n">
        <x:v>17900070180</x:v>
      </x:c>
      <x:c r="E225" s="39" t="n">
        <x:v>17900084883</x:v>
      </x:c>
      <x:c r="F225" s="39" t="n">
        <x:v>17900094678</x:v>
      </x:c>
      <x:c r="G225" s="39" t="n">
        <x:v>1</x:v>
      </x:c>
      <x:c r="H225" s="39" t="n">
        <x:v>1</x:v>
      </x:c>
      <x:c r="I225" s="39" t="n">
        <x:v>1</x:v>
      </x:c>
      <x:c r="J225" s="40" t="n">
        <x:f>B225/1000000000</x:f>
        <x:v>17.9</x:v>
      </x:c>
      <x:c r="K225" s="41" t="n">
        <x:f>IF(C225&lt;0,NA(),(F225-B225)/1000000)</x:f>
        <x:v>0.094678</x:v>
      </x:c>
      <x:c r="L225" s="39" t="n">
        <x:f>IF(C225&lt;0,1,IF(OR(G225=0,H225=0,I225=0,F225-B225&gt;100000000),1,0))</x:f>
        <x:v>0</x:v>
      </x:c>
      <x:c r="M225" s="39" t="n">
        <x:f>IF(C225&lt;0,1,0)</x:f>
        <x:v>0</x:v>
      </x:c>
      <x:c r="N225" s="1"/>
      <x:c r="O225" s="1"/>
      <x:c r="P225" s="1"/>
      <x:c r="Q225" s="1"/>
      <x:c r="R225" s="1"/>
    </x:row>
    <x:row r="226" ht="22" customHeight="1">
      <x:c r="A226" s="39" t="n">
        <x:v>180</x:v>
      </x:c>
      <x:c r="B226" s="39" t="n">
        <x:v>18000000000</x:v>
      </x:c>
      <x:c r="C226" s="39" t="n">
        <x:v>18000056358</x:v>
      </x:c>
      <x:c r="D226" s="39" t="n">
        <x:v>18000080264</x:v>
      </x:c>
      <x:c r="E226" s="39" t="n">
        <x:v>18000099096</x:v>
      </x:c>
      <x:c r="F226" s="39" t="n">
        <x:v>18000109133</x:v>
      </x:c>
      <x:c r="G226" s="39" t="n">
        <x:v>1</x:v>
      </x:c>
      <x:c r="H226" s="39" t="n">
        <x:v>1</x:v>
      </x:c>
      <x:c r="I226" s="39" t="n">
        <x:v>1</x:v>
      </x:c>
      <x:c r="J226" s="40" t="n">
        <x:f>B226/1000000000</x:f>
        <x:v>18</x:v>
      </x:c>
      <x:c r="K226" s="41" t="n">
        <x:f>IF(C226&lt;0,NA(),(F226-B226)/1000000)</x:f>
        <x:v>0.109133</x:v>
      </x:c>
      <x:c r="L226" s="39" t="n">
        <x:f>IF(C226&lt;0,1,IF(OR(G226=0,H226=0,I226=0,F226-B226&gt;100000000),1,0))</x:f>
        <x:v>0</x:v>
      </x:c>
      <x:c r="M226" s="39" t="n">
        <x:f>IF(C226&lt;0,1,0)</x:f>
        <x:v>0</x:v>
      </x:c>
      <x:c r="N226" s="1"/>
      <x:c r="O226" s="1"/>
      <x:c r="P226" s="1"/>
      <x:c r="Q226" s="1"/>
      <x:c r="R226" s="1"/>
    </x:row>
    <x:row r="227" ht="22" customHeight="1">
      <x:c r="A227" s="39" t="n">
        <x:v>181</x:v>
      </x:c>
      <x:c r="B227" s="39" t="n">
        <x:v>18100000000</x:v>
      </x:c>
      <x:c r="C227" s="39" t="n">
        <x:v>18100055868</x:v>
      </x:c>
      <x:c r="D227" s="39" t="n">
        <x:v>18100069534</x:v>
      </x:c>
      <x:c r="E227" s="39" t="n">
        <x:v>18100083534</x:v>
      </x:c>
      <x:c r="F227" s="39" t="n">
        <x:v>18100093570</x:v>
      </x:c>
      <x:c r="G227" s="39" t="n">
        <x:v>1</x:v>
      </x:c>
      <x:c r="H227" s="39" t="n">
        <x:v>1</x:v>
      </x:c>
      <x:c r="I227" s="39" t="n">
        <x:v>1</x:v>
      </x:c>
      <x:c r="J227" s="40" t="n">
        <x:f>B227/1000000000</x:f>
        <x:v>18.1</x:v>
      </x:c>
      <x:c r="K227" s="41" t="n">
        <x:f>IF(C227&lt;0,NA(),(F227-B227)/1000000)</x:f>
        <x:v>0.09357</x:v>
      </x:c>
      <x:c r="L227" s="39" t="n">
        <x:f>IF(C227&lt;0,1,IF(OR(G227=0,H227=0,I227=0,F227-B227&gt;100000000),1,0))</x:f>
        <x:v>0</x:v>
      </x:c>
      <x:c r="M227" s="39" t="n">
        <x:f>IF(C227&lt;0,1,0)</x:f>
        <x:v>0</x:v>
      </x:c>
      <x:c r="N227" s="1"/>
      <x:c r="O227" s="1"/>
      <x:c r="P227" s="1"/>
      <x:c r="Q227" s="1"/>
      <x:c r="R227" s="1"/>
    </x:row>
    <x:row r="228" ht="22" customHeight="1">
      <x:c r="A228" s="39" t="n">
        <x:v>182</x:v>
      </x:c>
      <x:c r="B228" s="39" t="n">
        <x:v>18200000000</x:v>
      </x:c>
      <x:c r="C228" s="39" t="n">
        <x:v>18200055323</x:v>
      </x:c>
      <x:c r="D228" s="39" t="n">
        <x:v>18200072915</x:v>
      </x:c>
      <x:c r="E228" s="39" t="n">
        <x:v>18200088599</x:v>
      </x:c>
      <x:c r="F228" s="39" t="n">
        <x:v>18200098414</x:v>
      </x:c>
      <x:c r="G228" s="39" t="n">
        <x:v>1</x:v>
      </x:c>
      <x:c r="H228" s="39" t="n">
        <x:v>1</x:v>
      </x:c>
      <x:c r="I228" s="39" t="n">
        <x:v>1</x:v>
      </x:c>
      <x:c r="J228" s="40" t="n">
        <x:f>B228/1000000000</x:f>
        <x:v>18.2</x:v>
      </x:c>
      <x:c r="K228" s="41" t="n">
        <x:f>IF(C228&lt;0,NA(),(F228-B228)/1000000)</x:f>
        <x:v>0.098414</x:v>
      </x:c>
      <x:c r="L228" s="39" t="n">
        <x:f>IF(C228&lt;0,1,IF(OR(G228=0,H228=0,I228=0,F228-B228&gt;100000000),1,0))</x:f>
        <x:v>0</x:v>
      </x:c>
      <x:c r="M228" s="39" t="n">
        <x:f>IF(C228&lt;0,1,0)</x:f>
        <x:v>0</x:v>
      </x:c>
      <x:c r="N228" s="1"/>
      <x:c r="O228" s="1"/>
      <x:c r="P228" s="1"/>
      <x:c r="Q228" s="1"/>
      <x:c r="R228" s="1"/>
    </x:row>
    <x:row r="229" ht="22" customHeight="1">
      <x:c r="A229" s="39" t="n">
        <x:v>183</x:v>
      </x:c>
      <x:c r="B229" s="39" t="n">
        <x:v>18300000000</x:v>
      </x:c>
      <x:c r="C229" s="39" t="n">
        <x:v>18300055926</x:v>
      </x:c>
      <x:c r="D229" s="39" t="n">
        <x:v>18300069333</x:v>
      </x:c>
      <x:c r="E229" s="39" t="n">
        <x:v>18300083907</x:v>
      </x:c>
      <x:c r="F229" s="39" t="n">
        <x:v>18300093591</x:v>
      </x:c>
      <x:c r="G229" s="39" t="n">
        <x:v>1</x:v>
      </x:c>
      <x:c r="H229" s="39" t="n">
        <x:v>1</x:v>
      </x:c>
      <x:c r="I229" s="39" t="n">
        <x:v>1</x:v>
      </x:c>
      <x:c r="J229" s="40" t="n">
        <x:f>B229/1000000000</x:f>
        <x:v>18.3</x:v>
      </x:c>
      <x:c r="K229" s="41" t="n">
        <x:f>IF(C229&lt;0,NA(),(F229-B229)/1000000)</x:f>
        <x:v>0.093591</x:v>
      </x:c>
      <x:c r="L229" s="39" t="n">
        <x:f>IF(C229&lt;0,1,IF(OR(G229=0,H229=0,I229=0,F229-B229&gt;100000000),1,0))</x:f>
        <x:v>0</x:v>
      </x:c>
      <x:c r="M229" s="39" t="n">
        <x:f>IF(C229&lt;0,1,0)</x:f>
        <x:v>0</x:v>
      </x:c>
      <x:c r="N229" s="1"/>
      <x:c r="O229" s="1"/>
      <x:c r="P229" s="1"/>
      <x:c r="Q229" s="1"/>
      <x:c r="R229" s="1"/>
    </x:row>
    <x:row r="230" ht="22" customHeight="1">
      <x:c r="A230" s="39" t="n">
        <x:v>184</x:v>
      </x:c>
      <x:c r="B230" s="39" t="n">
        <x:v>18400000000</x:v>
      </x:c>
      <x:c r="C230" s="39" t="n">
        <x:v>18400054548</x:v>
      </x:c>
      <x:c r="D230" s="39" t="n">
        <x:v>18400062696</x:v>
      </x:c>
      <x:c r="E230" s="39" t="n">
        <x:v>18400071621</x:v>
      </x:c>
      <x:c r="F230" s="39" t="n">
        <x:v>18400080917</x:v>
      </x:c>
      <x:c r="G230" s="39" t="n">
        <x:v>1</x:v>
      </x:c>
      <x:c r="H230" s="39" t="n">
        <x:v>1</x:v>
      </x:c>
      <x:c r="I230" s="39" t="n">
        <x:v>1</x:v>
      </x:c>
      <x:c r="J230" s="40" t="n">
        <x:f>B230/1000000000</x:f>
        <x:v>18.4</x:v>
      </x:c>
      <x:c r="K230" s="41" t="n">
        <x:f>IF(C230&lt;0,NA(),(F230-B230)/1000000)</x:f>
        <x:v>0.080917</x:v>
      </x:c>
      <x:c r="L230" s="39" t="n">
        <x:f>IF(C230&lt;0,1,IF(OR(G230=0,H230=0,I230=0,F230-B230&gt;100000000),1,0))</x:f>
        <x:v>0</x:v>
      </x:c>
      <x:c r="M230" s="39" t="n">
        <x:f>IF(C230&lt;0,1,0)</x:f>
        <x:v>0</x:v>
      </x:c>
      <x:c r="N230" s="1"/>
      <x:c r="O230" s="1"/>
      <x:c r="P230" s="1"/>
      <x:c r="Q230" s="1"/>
      <x:c r="R230" s="1"/>
    </x:row>
    <x:row r="231" ht="22" customHeight="1">
      <x:c r="A231" s="39" t="n">
        <x:v>185</x:v>
      </x:c>
      <x:c r="B231" s="39" t="n">
        <x:v>18500000000</x:v>
      </x:c>
      <x:c r="C231" s="39" t="n">
        <x:v>18500055966</x:v>
      </x:c>
      <x:c r="D231" s="39" t="n">
        <x:v>18500070521</x:v>
      </x:c>
      <x:c r="E231" s="39" t="n">
        <x:v>18500084928</x:v>
      </x:c>
      <x:c r="F231" s="39" t="n">
        <x:v>18500094538</x:v>
      </x:c>
      <x:c r="G231" s="39" t="n">
        <x:v>1</x:v>
      </x:c>
      <x:c r="H231" s="39" t="n">
        <x:v>1</x:v>
      </x:c>
      <x:c r="I231" s="39" t="n">
        <x:v>1</x:v>
      </x:c>
      <x:c r="J231" s="40" t="n">
        <x:f>B231/1000000000</x:f>
        <x:v>18.5</x:v>
      </x:c>
      <x:c r="K231" s="41" t="n">
        <x:f>IF(C231&lt;0,NA(),(F231-B231)/1000000)</x:f>
        <x:v>0.094538</x:v>
      </x:c>
      <x:c r="L231" s="39" t="n">
        <x:f>IF(C231&lt;0,1,IF(OR(G231=0,H231=0,I231=0,F231-B231&gt;100000000),1,0))</x:f>
        <x:v>0</x:v>
      </x:c>
      <x:c r="M231" s="39" t="n">
        <x:f>IF(C231&lt;0,1,0)</x:f>
        <x:v>0</x:v>
      </x:c>
      <x:c r="N231" s="1"/>
      <x:c r="O231" s="1"/>
      <x:c r="P231" s="1"/>
      <x:c r="Q231" s="1"/>
      <x:c r="R231" s="1"/>
    </x:row>
    <x:row r="232" ht="22" customHeight="1">
      <x:c r="A232" s="39" t="n">
        <x:v>186</x:v>
      </x:c>
      <x:c r="B232" s="39" t="n">
        <x:v>18600000000</x:v>
      </x:c>
      <x:c r="C232" s="39" t="n">
        <x:v>18600059014</x:v>
      </x:c>
      <x:c r="D232" s="39" t="n">
        <x:v>18600110048</x:v>
      </x:c>
      <x:c r="E232" s="39" t="n">
        <x:v>18600147232</x:v>
      </x:c>
      <x:c r="F232" s="39" t="n">
        <x:v>18600158416</x:v>
      </x:c>
      <x:c r="G232" s="39" t="n">
        <x:v>1</x:v>
      </x:c>
      <x:c r="H232" s="39" t="n">
        <x:v>1</x:v>
      </x:c>
      <x:c r="I232" s="39" t="n">
        <x:v>1</x:v>
      </x:c>
      <x:c r="J232" s="40" t="n">
        <x:f>B232/1000000000</x:f>
        <x:v>18.6</x:v>
      </x:c>
      <x:c r="K232" s="41" t="n">
        <x:f>IF(C232&lt;0,NA(),(F232-B232)/1000000)</x:f>
        <x:v>0.158416</x:v>
      </x:c>
      <x:c r="L232" s="39" t="n">
        <x:f>IF(C232&lt;0,1,IF(OR(G232=0,H232=0,I232=0,F232-B232&gt;100000000),1,0))</x:f>
        <x:v>0</x:v>
      </x:c>
      <x:c r="M232" s="39" t="n">
        <x:f>IF(C232&lt;0,1,0)</x:f>
        <x:v>0</x:v>
      </x:c>
      <x:c r="N232" s="1"/>
      <x:c r="O232" s="1"/>
      <x:c r="P232" s="1"/>
      <x:c r="Q232" s="1"/>
      <x:c r="R232" s="1"/>
    </x:row>
    <x:row r="233" ht="22" customHeight="1">
      <x:c r="A233" s="39" t="n">
        <x:v>187</x:v>
      </x:c>
      <x:c r="B233" s="39" t="n">
        <x:v>18700000000</x:v>
      </x:c>
      <x:c r="C233" s="39" t="n">
        <x:v>18700061969</x:v>
      </x:c>
      <x:c r="D233" s="39" t="n">
        <x:v>18700107318</x:v>
      </x:c>
      <x:c r="E233" s="39" t="n">
        <x:v>18700143316</x:v>
      </x:c>
      <x:c r="F233" s="39" t="n">
        <x:v>18700155075</x:v>
      </x:c>
      <x:c r="G233" s="39" t="n">
        <x:v>1</x:v>
      </x:c>
      <x:c r="H233" s="39" t="n">
        <x:v>1</x:v>
      </x:c>
      <x:c r="I233" s="39" t="n">
        <x:v>1</x:v>
      </x:c>
      <x:c r="J233" s="40" t="n">
        <x:f>B233/1000000000</x:f>
        <x:v>18.7</x:v>
      </x:c>
      <x:c r="K233" s="41" t="n">
        <x:f>IF(C233&lt;0,NA(),(F233-B233)/1000000)</x:f>
        <x:v>0.155075</x:v>
      </x:c>
      <x:c r="L233" s="39" t="n">
        <x:f>IF(C233&lt;0,1,IF(OR(G233=0,H233=0,I233=0,F233-B233&gt;100000000),1,0))</x:f>
        <x:v>0</x:v>
      </x:c>
      <x:c r="M233" s="39" t="n">
        <x:f>IF(C233&lt;0,1,0)</x:f>
        <x:v>0</x:v>
      </x:c>
      <x:c r="N233" s="1"/>
      <x:c r="O233" s="1"/>
      <x:c r="P233" s="1"/>
      <x:c r="Q233" s="1"/>
      <x:c r="R233" s="1"/>
    </x:row>
    <x:row r="234" ht="22" customHeight="1">
      <x:c r="A234" s="39" t="n">
        <x:v>188</x:v>
      </x:c>
      <x:c r="B234" s="39" t="n">
        <x:v>18800000000</x:v>
      </x:c>
      <x:c r="C234" s="39" t="n">
        <x:v>18800054479</x:v>
      </x:c>
      <x:c r="D234" s="39" t="n">
        <x:v>18800074219</x:v>
      </x:c>
      <x:c r="E234" s="39" t="n">
        <x:v>18800093792</x:v>
      </x:c>
      <x:c r="F234" s="39" t="n">
        <x:v>18800103903</x:v>
      </x:c>
      <x:c r="G234" s="39" t="n">
        <x:v>1</x:v>
      </x:c>
      <x:c r="H234" s="39" t="n">
        <x:v>1</x:v>
      </x:c>
      <x:c r="I234" s="39" t="n">
        <x:v>1</x:v>
      </x:c>
      <x:c r="J234" s="40" t="n">
        <x:f>B234/1000000000</x:f>
        <x:v>18.8</x:v>
      </x:c>
      <x:c r="K234" s="41" t="n">
        <x:f>IF(C234&lt;0,NA(),(F234-B234)/1000000)</x:f>
        <x:v>0.103903</x:v>
      </x:c>
      <x:c r="L234" s="39" t="n">
        <x:f>IF(C234&lt;0,1,IF(OR(G234=0,H234=0,I234=0,F234-B234&gt;100000000),1,0))</x:f>
        <x:v>0</x:v>
      </x:c>
      <x:c r="M234" s="39" t="n">
        <x:f>IF(C234&lt;0,1,0)</x:f>
        <x:v>0</x:v>
      </x:c>
      <x:c r="N234" s="1"/>
      <x:c r="O234" s="1"/>
      <x:c r="P234" s="1"/>
      <x:c r="Q234" s="1"/>
      <x:c r="R234" s="1"/>
    </x:row>
    <x:row r="235" ht="22" customHeight="1">
      <x:c r="A235" s="39" t="n">
        <x:v>189</x:v>
      </x:c>
      <x:c r="B235" s="39" t="n">
        <x:v>18900000000</x:v>
      </x:c>
      <x:c r="C235" s="39" t="n">
        <x:v>18900058266</x:v>
      </x:c>
      <x:c r="D235" s="39" t="n">
        <x:v>18900081488</x:v>
      </x:c>
      <x:c r="E235" s="39" t="n">
        <x:v>18900103301</x:v>
      </x:c>
      <x:c r="F235" s="39" t="n">
        <x:v>18900113727</x:v>
      </x:c>
      <x:c r="G235" s="39" t="n">
        <x:v>1</x:v>
      </x:c>
      <x:c r="H235" s="39" t="n">
        <x:v>1</x:v>
      </x:c>
      <x:c r="I235" s="39" t="n">
        <x:v>1</x:v>
      </x:c>
      <x:c r="J235" s="40" t="n">
        <x:f>B235/1000000000</x:f>
        <x:v>18.9</x:v>
      </x:c>
      <x:c r="K235" s="41" t="n">
        <x:f>IF(C235&lt;0,NA(),(F235-B235)/1000000)</x:f>
        <x:v>0.113727</x:v>
      </x:c>
      <x:c r="L235" s="39" t="n">
        <x:f>IF(C235&lt;0,1,IF(OR(G235=0,H235=0,I235=0,F235-B235&gt;100000000),1,0))</x:f>
        <x:v>0</x:v>
      </x:c>
      <x:c r="M235" s="39" t="n">
        <x:f>IF(C235&lt;0,1,0)</x:f>
        <x:v>0</x:v>
      </x:c>
      <x:c r="N235" s="1"/>
      <x:c r="O235" s="1"/>
      <x:c r="P235" s="1"/>
      <x:c r="Q235" s="1"/>
      <x:c r="R235" s="1"/>
    </x:row>
    <x:row r="236" ht="22" customHeight="1">
      <x:c r="A236" s="39" t="n">
        <x:v>190</x:v>
      </x:c>
      <x:c r="B236" s="39" t="n">
        <x:v>19000000000</x:v>
      </x:c>
      <x:c r="C236" s="39" t="n">
        <x:v>19000053362</x:v>
      </x:c>
      <x:c r="D236" s="39" t="n">
        <x:v>19000066639</x:v>
      </x:c>
      <x:c r="E236" s="39" t="n">
        <x:v>19000079083</x:v>
      </x:c>
      <x:c r="F236" s="39" t="n">
        <x:v>19000088657</x:v>
      </x:c>
      <x:c r="G236" s="39" t="n">
        <x:v>1</x:v>
      </x:c>
      <x:c r="H236" s="39" t="n">
        <x:v>1</x:v>
      </x:c>
      <x:c r="I236" s="39" t="n">
        <x:v>1</x:v>
      </x:c>
      <x:c r="J236" s="40" t="n">
        <x:f>B236/1000000000</x:f>
        <x:v>19</x:v>
      </x:c>
      <x:c r="K236" s="41" t="n">
        <x:f>IF(C236&lt;0,NA(),(F236-B236)/1000000)</x:f>
        <x:v>0.088657</x:v>
      </x:c>
      <x:c r="L236" s="39" t="n">
        <x:f>IF(C236&lt;0,1,IF(OR(G236=0,H236=0,I236=0,F236-B236&gt;100000000),1,0))</x:f>
        <x:v>0</x:v>
      </x:c>
      <x:c r="M236" s="39" t="n">
        <x:f>IF(C236&lt;0,1,0)</x:f>
        <x:v>0</x:v>
      </x:c>
      <x:c r="N236" s="1"/>
      <x:c r="O236" s="1"/>
      <x:c r="P236" s="1"/>
      <x:c r="Q236" s="1"/>
      <x:c r="R236" s="1"/>
    </x:row>
    <x:row r="237" ht="22" customHeight="1">
      <x:c r="A237" s="39" t="n">
        <x:v>191</x:v>
      </x:c>
      <x:c r="B237" s="39" t="n">
        <x:v>19100000000</x:v>
      </x:c>
      <x:c r="C237" s="39" t="n">
        <x:v>19100051791</x:v>
      </x:c>
      <x:c r="D237" s="39" t="n">
        <x:v>19100061216</x:v>
      </x:c>
      <x:c r="E237" s="39" t="n">
        <x:v>19100069957</x:v>
      </x:c>
      <x:c r="F237" s="39" t="n">
        <x:v>19100079586</x:v>
      </x:c>
      <x:c r="G237" s="39" t="n">
        <x:v>1</x:v>
      </x:c>
      <x:c r="H237" s="39" t="n">
        <x:v>1</x:v>
      </x:c>
      <x:c r="I237" s="39" t="n">
        <x:v>1</x:v>
      </x:c>
      <x:c r="J237" s="40" t="n">
        <x:f>B237/1000000000</x:f>
        <x:v>19.1</x:v>
      </x:c>
      <x:c r="K237" s="41" t="n">
        <x:f>IF(C237&lt;0,NA(),(F237-B237)/1000000)</x:f>
        <x:v>0.079586</x:v>
      </x:c>
      <x:c r="L237" s="39" t="n">
        <x:f>IF(C237&lt;0,1,IF(OR(G237=0,H237=0,I237=0,F237-B237&gt;100000000),1,0))</x:f>
        <x:v>0</x:v>
      </x:c>
      <x:c r="M237" s="39" t="n">
        <x:f>IF(C237&lt;0,1,0)</x:f>
        <x:v>0</x:v>
      </x:c>
      <x:c r="N237" s="1"/>
      <x:c r="O237" s="1"/>
      <x:c r="P237" s="1"/>
      <x:c r="Q237" s="1"/>
      <x:c r="R237" s="1"/>
    </x:row>
    <x:row r="238" ht="22" customHeight="1">
      <x:c r="A238" s="39" t="n">
        <x:v>192</x:v>
      </x:c>
      <x:c r="B238" s="39" t="n">
        <x:v>19200000000</x:v>
      </x:c>
      <x:c r="C238" s="39" t="n">
        <x:v>19200056682</x:v>
      </x:c>
      <x:c r="D238" s="39" t="n">
        <x:v>19200081941</x:v>
      </x:c>
      <x:c r="E238" s="39" t="n">
        <x:v>19200104699</x:v>
      </x:c>
      <x:c r="F238" s="39" t="n">
        <x:v>19200115124</x:v>
      </x:c>
      <x:c r="G238" s="39" t="n">
        <x:v>1</x:v>
      </x:c>
      <x:c r="H238" s="39" t="n">
        <x:v>1</x:v>
      </x:c>
      <x:c r="I238" s="39" t="n">
        <x:v>1</x:v>
      </x:c>
      <x:c r="J238" s="40" t="n">
        <x:f>B238/1000000000</x:f>
        <x:v>19.2</x:v>
      </x:c>
      <x:c r="K238" s="41" t="n">
        <x:f>IF(C238&lt;0,NA(),(F238-B238)/1000000)</x:f>
        <x:v>0.115124</x:v>
      </x:c>
      <x:c r="L238" s="39" t="n">
        <x:f>IF(C238&lt;0,1,IF(OR(G238=0,H238=0,I238=0,F238-B238&gt;100000000),1,0))</x:f>
        <x:v>0</x:v>
      </x:c>
      <x:c r="M238" s="39" t="n">
        <x:f>IF(C238&lt;0,1,0)</x:f>
        <x:v>0</x:v>
      </x:c>
      <x:c r="N238" s="1"/>
      <x:c r="O238" s="1"/>
      <x:c r="P238" s="1"/>
      <x:c r="Q238" s="1"/>
      <x:c r="R238" s="1"/>
    </x:row>
    <x:row r="239" ht="22" customHeight="1">
      <x:c r="A239" s="39" t="n">
        <x:v>193</x:v>
      </x:c>
      <x:c r="B239" s="39" t="n">
        <x:v>19300000000</x:v>
      </x:c>
      <x:c r="C239" s="39" t="n">
        <x:v>19300052852</x:v>
      </x:c>
      <x:c r="D239" s="39" t="n">
        <x:v>19300061630</x:v>
      </x:c>
      <x:c r="E239" s="39" t="n">
        <x:v>19300071148</x:v>
      </x:c>
      <x:c r="F239" s="39" t="n">
        <x:v>19300080518</x:v>
      </x:c>
      <x:c r="G239" s="39" t="n">
        <x:v>1</x:v>
      </x:c>
      <x:c r="H239" s="39" t="n">
        <x:v>1</x:v>
      </x:c>
      <x:c r="I239" s="39" t="n">
        <x:v>1</x:v>
      </x:c>
      <x:c r="J239" s="40" t="n">
        <x:f>B239/1000000000</x:f>
        <x:v>19.3</x:v>
      </x:c>
      <x:c r="K239" s="41" t="n">
        <x:f>IF(C239&lt;0,NA(),(F239-B239)/1000000)</x:f>
        <x:v>0.080518</x:v>
      </x:c>
      <x:c r="L239" s="39" t="n">
        <x:f>IF(C239&lt;0,1,IF(OR(G239=0,H239=0,I239=0,F239-B239&gt;100000000),1,0))</x:f>
        <x:v>0</x:v>
      </x:c>
      <x:c r="M239" s="39" t="n">
        <x:f>IF(C239&lt;0,1,0)</x:f>
        <x:v>0</x:v>
      </x:c>
      <x:c r="N239" s="1"/>
      <x:c r="O239" s="1"/>
      <x:c r="P239" s="1"/>
      <x:c r="Q239" s="1"/>
      <x:c r="R239" s="1"/>
    </x:row>
    <x:row r="240" ht="22" customHeight="1">
      <x:c r="A240" s="39" t="n">
        <x:v>194</x:v>
      </x:c>
      <x:c r="B240" s="39" t="n">
        <x:v>19400000000</x:v>
      </x:c>
      <x:c r="C240" s="39" t="n">
        <x:v>19400049874</x:v>
      </x:c>
      <x:c r="D240" s="39" t="n">
        <x:v>19400056059</x:v>
      </x:c>
      <x:c r="E240" s="39" t="n">
        <x:v>19400063614</x:v>
      </x:c>
      <x:c r="F240" s="39" t="n">
        <x:v>19400072965</x:v>
      </x:c>
      <x:c r="G240" s="39" t="n">
        <x:v>1</x:v>
      </x:c>
      <x:c r="H240" s="39" t="n">
        <x:v>1</x:v>
      </x:c>
      <x:c r="I240" s="39" t="n">
        <x:v>1</x:v>
      </x:c>
      <x:c r="J240" s="40" t="n">
        <x:f>B240/1000000000</x:f>
        <x:v>19.4</x:v>
      </x:c>
      <x:c r="K240" s="41" t="n">
        <x:f>IF(C240&lt;0,NA(),(F240-B240)/1000000)</x:f>
        <x:v>0.072965</x:v>
      </x:c>
      <x:c r="L240" s="39" t="n">
        <x:f>IF(C240&lt;0,1,IF(OR(G240=0,H240=0,I240=0,F240-B240&gt;100000000),1,0))</x:f>
        <x:v>0</x:v>
      </x:c>
      <x:c r="M240" s="39" t="n">
        <x:f>IF(C240&lt;0,1,0)</x:f>
        <x:v>0</x:v>
      </x:c>
      <x:c r="N240" s="1"/>
      <x:c r="O240" s="1"/>
      <x:c r="P240" s="1"/>
      <x:c r="Q240" s="1"/>
      <x:c r="R240" s="1"/>
    </x:row>
    <x:row r="241" ht="22" customHeight="1">
      <x:c r="A241" s="39" t="n">
        <x:v>195</x:v>
      </x:c>
      <x:c r="B241" s="39" t="n">
        <x:v>19500000000</x:v>
      </x:c>
      <x:c r="C241" s="39" t="n">
        <x:v>19500061654</x:v>
      </x:c>
      <x:c r="D241" s="39" t="n">
        <x:v>19500104874</x:v>
      </x:c>
      <x:c r="E241" s="39" t="n">
        <x:v>19500140391</x:v>
      </x:c>
      <x:c r="F241" s="39" t="n">
        <x:v>19500151835</x:v>
      </x:c>
      <x:c r="G241" s="39" t="n">
        <x:v>1</x:v>
      </x:c>
      <x:c r="H241" s="39" t="n">
        <x:v>1</x:v>
      </x:c>
      <x:c r="I241" s="39" t="n">
        <x:v>1</x:v>
      </x:c>
      <x:c r="J241" s="40" t="n">
        <x:f>B241/1000000000</x:f>
        <x:v>19.5</x:v>
      </x:c>
      <x:c r="K241" s="41" t="n">
        <x:f>IF(C241&lt;0,NA(),(F241-B241)/1000000)</x:f>
        <x:v>0.151835</x:v>
      </x:c>
      <x:c r="L241" s="39" t="n">
        <x:f>IF(C241&lt;0,1,IF(OR(G241=0,H241=0,I241=0,F241-B241&gt;100000000),1,0))</x:f>
        <x:v>0</x:v>
      </x:c>
      <x:c r="M241" s="39" t="n">
        <x:f>IF(C241&lt;0,1,0)</x:f>
        <x:v>0</x:v>
      </x:c>
      <x:c r="N241" s="1"/>
      <x:c r="O241" s="1"/>
      <x:c r="P241" s="1"/>
      <x:c r="Q241" s="1"/>
      <x:c r="R241" s="1"/>
    </x:row>
    <x:row r="242" ht="22" customHeight="1">
      <x:c r="A242" s="39" t="n">
        <x:v>196</x:v>
      </x:c>
      <x:c r="B242" s="39" t="n">
        <x:v>19600000000</x:v>
      </x:c>
      <x:c r="C242" s="39" t="n">
        <x:v>19600055324</x:v>
      </x:c>
      <x:c r="D242" s="39" t="n">
        <x:v>19600074786</x:v>
      </x:c>
      <x:c r="E242" s="39" t="n">
        <x:v>19600094266</x:v>
      </x:c>
      <x:c r="F242" s="39" t="n">
        <x:v>19600104395</x:v>
      </x:c>
      <x:c r="G242" s="39" t="n">
        <x:v>1</x:v>
      </x:c>
      <x:c r="H242" s="39" t="n">
        <x:v>1</x:v>
      </x:c>
      <x:c r="I242" s="39" t="n">
        <x:v>1</x:v>
      </x:c>
      <x:c r="J242" s="40" t="n">
        <x:f>B242/1000000000</x:f>
        <x:v>19.6</x:v>
      </x:c>
      <x:c r="K242" s="41" t="n">
        <x:f>IF(C242&lt;0,NA(),(F242-B242)/1000000)</x:f>
        <x:v>0.104395</x:v>
      </x:c>
      <x:c r="L242" s="39" t="n">
        <x:f>IF(C242&lt;0,1,IF(OR(G242=0,H242=0,I242=0,F242-B242&gt;100000000),1,0))</x:f>
        <x:v>0</x:v>
      </x:c>
      <x:c r="M242" s="39" t="n">
        <x:f>IF(C242&lt;0,1,0)</x:f>
        <x:v>0</x:v>
      </x:c>
      <x:c r="N242" s="1"/>
      <x:c r="O242" s="1"/>
      <x:c r="P242" s="1"/>
      <x:c r="Q242" s="1"/>
      <x:c r="R242" s="1"/>
    </x:row>
    <x:row r="243" ht="22" customHeight="1">
      <x:c r="A243" s="39" t="n">
        <x:v>197</x:v>
      </x:c>
      <x:c r="B243" s="39" t="n">
        <x:v>19700000000</x:v>
      </x:c>
      <x:c r="C243" s="39" t="n">
        <x:v>19700050475</x:v>
      </x:c>
      <x:c r="D243" s="39" t="n">
        <x:v>19700059141</x:v>
      </x:c>
      <x:c r="E243" s="39" t="n">
        <x:v>19700068715</x:v>
      </x:c>
      <x:c r="F243" s="39" t="n">
        <x:v>19700078066</x:v>
      </x:c>
      <x:c r="G243" s="39" t="n">
        <x:v>1</x:v>
      </x:c>
      <x:c r="H243" s="39" t="n">
        <x:v>1</x:v>
      </x:c>
      <x:c r="I243" s="39" t="n">
        <x:v>1</x:v>
      </x:c>
      <x:c r="J243" s="40" t="n">
        <x:f>B243/1000000000</x:f>
        <x:v>19.7</x:v>
      </x:c>
      <x:c r="K243" s="41" t="n">
        <x:f>IF(C243&lt;0,NA(),(F243-B243)/1000000)</x:f>
        <x:v>0.078066</x:v>
      </x:c>
      <x:c r="L243" s="39" t="n">
        <x:f>IF(C243&lt;0,1,IF(OR(G243=0,H243=0,I243=0,F243-B243&gt;100000000),1,0))</x:f>
        <x:v>0</x:v>
      </x:c>
      <x:c r="M243" s="39" t="n">
        <x:f>IF(C243&lt;0,1,0)</x:f>
        <x:v>0</x:v>
      </x:c>
      <x:c r="N243" s="1"/>
      <x:c r="O243" s="1"/>
      <x:c r="P243" s="1"/>
      <x:c r="Q243" s="1"/>
      <x:c r="R243" s="1"/>
    </x:row>
    <x:row r="244" ht="22" customHeight="1">
      <x:c r="A244" s="39" t="n">
        <x:v>198</x:v>
      </x:c>
      <x:c r="B244" s="39" t="n">
        <x:v>19800000000</x:v>
      </x:c>
      <x:c r="C244" s="39" t="n">
        <x:v>19800055607</x:v>
      </x:c>
      <x:c r="D244" s="39" t="n">
        <x:v>19800080180</x:v>
      </x:c>
      <x:c r="E244" s="39" t="n">
        <x:v>19800098605</x:v>
      </x:c>
      <x:c r="F244" s="39" t="n">
        <x:v>19800108456</x:v>
      </x:c>
      <x:c r="G244" s="39" t="n">
        <x:v>1</x:v>
      </x:c>
      <x:c r="H244" s="39" t="n">
        <x:v>1</x:v>
      </x:c>
      <x:c r="I244" s="39" t="n">
        <x:v>1</x:v>
      </x:c>
      <x:c r="J244" s="40" t="n">
        <x:f>B244/1000000000</x:f>
        <x:v>19.8</x:v>
      </x:c>
      <x:c r="K244" s="41" t="n">
        <x:f>IF(C244&lt;0,NA(),(F244-B244)/1000000)</x:f>
        <x:v>0.108456</x:v>
      </x:c>
      <x:c r="L244" s="39" t="n">
        <x:f>IF(C244&lt;0,1,IF(OR(G244=0,H244=0,I244=0,F244-B244&gt;100000000),1,0))</x:f>
        <x:v>0</x:v>
      </x:c>
      <x:c r="M244" s="39" t="n">
        <x:f>IF(C244&lt;0,1,0)</x:f>
        <x:v>0</x:v>
      </x:c>
      <x:c r="N244" s="1"/>
      <x:c r="O244" s="1"/>
      <x:c r="P244" s="1"/>
      <x:c r="Q244" s="1"/>
      <x:c r="R244" s="1"/>
    </x:row>
    <x:row r="245" ht="22" customHeight="1">
      <x:c r="A245" s="39" t="n">
        <x:v>199</x:v>
      </x:c>
      <x:c r="B245" s="39" t="n">
        <x:v>19900000000</x:v>
      </x:c>
      <x:c r="C245" s="39" t="n">
        <x:v>19900057931</x:v>
      </x:c>
      <x:c r="D245" s="39" t="n">
        <x:v>19900080023</x:v>
      </x:c>
      <x:c r="E245" s="39" t="n">
        <x:v>19900100744</x:v>
      </x:c>
      <x:c r="F245" s="39" t="n">
        <x:v>19900110874</x:v>
      </x:c>
      <x:c r="G245" s="39" t="n">
        <x:v>1</x:v>
      </x:c>
      <x:c r="H245" s="39" t="n">
        <x:v>1</x:v>
      </x:c>
      <x:c r="I245" s="39" t="n">
        <x:v>1</x:v>
      </x:c>
      <x:c r="J245" s="40" t="n">
        <x:f>B245/1000000000</x:f>
        <x:v>19.9</x:v>
      </x:c>
      <x:c r="K245" s="41" t="n">
        <x:f>IF(C245&lt;0,NA(),(F245-B245)/1000000)</x:f>
        <x:v>0.110874</x:v>
      </x:c>
      <x:c r="L245" s="39" t="n">
        <x:f>IF(C245&lt;0,1,IF(OR(G245=0,H245=0,I245=0,F245-B245&gt;100000000),1,0))</x:f>
        <x:v>0</x:v>
      </x:c>
      <x:c r="M245" s="39" t="n">
        <x:f>IF(C245&lt;0,1,0)</x:f>
        <x:v>0</x:v>
      </x:c>
      <x:c r="N245" s="1"/>
      <x:c r="O245" s="1"/>
      <x:c r="P245" s="1"/>
      <x:c r="Q245" s="1"/>
      <x:c r="R245" s="1"/>
    </x:row>
    <x:row r="246" ht="22" customHeight="1">
      <x:c r="A246" s="39" t="n">
        <x:v>200</x:v>
      </x:c>
      <x:c r="B246" s="39" t="n">
        <x:v>20000000000</x:v>
      </x:c>
      <x:c r="C246" s="39" t="n">
        <x:v>20000054097</x:v>
      </x:c>
      <x:c r="D246" s="39" t="n">
        <x:v>20000068041</x:v>
      </x:c>
      <x:c r="E246" s="39" t="n">
        <x:v>20000081337</x:v>
      </x:c>
      <x:c r="F246" s="39" t="n">
        <x:v>20000091170</x:v>
      </x:c>
      <x:c r="G246" s="39" t="n">
        <x:v>1</x:v>
      </x:c>
      <x:c r="H246" s="39" t="n">
        <x:v>1</x:v>
      </x:c>
      <x:c r="I246" s="39" t="n">
        <x:v>1</x:v>
      </x:c>
      <x:c r="J246" s="40" t="n">
        <x:f>B246/1000000000</x:f>
        <x:v>20</x:v>
      </x:c>
      <x:c r="K246" s="41" t="n">
        <x:f>IF(C246&lt;0,NA(),(F246-B246)/1000000)</x:f>
        <x:v>0.09117</x:v>
      </x:c>
      <x:c r="L246" s="39" t="n">
        <x:f>IF(C246&lt;0,1,IF(OR(G246=0,H246=0,I246=0,F246-B246&gt;100000000),1,0))</x:f>
        <x:v>0</x:v>
      </x:c>
      <x:c r="M246" s="39" t="n">
        <x:f>IF(C246&lt;0,1,0)</x:f>
        <x:v>0</x:v>
      </x:c>
      <x:c r="N246" s="1"/>
      <x:c r="O246" s="1"/>
      <x:c r="P246" s="1"/>
      <x:c r="Q246" s="1"/>
      <x:c r="R246" s="1"/>
    </x:row>
    <x:row r="247" ht="22" customHeight="1">
      <x:c r="A247" s="39" t="n">
        <x:v>201</x:v>
      </x:c>
      <x:c r="B247" s="39" t="n">
        <x:v>20100000000</x:v>
      </x:c>
      <x:c r="C247" s="39" t="n">
        <x:v>20100051097</x:v>
      </x:c>
      <x:c r="D247" s="39" t="n">
        <x:v>20100059652</x:v>
      </x:c>
      <x:c r="E247" s="39" t="n">
        <x:v>20100068781</x:v>
      </x:c>
      <x:c r="F247" s="39" t="n">
        <x:v>20100078188</x:v>
      </x:c>
      <x:c r="G247" s="39" t="n">
        <x:v>1</x:v>
      </x:c>
      <x:c r="H247" s="39" t="n">
        <x:v>1</x:v>
      </x:c>
      <x:c r="I247" s="39" t="n">
        <x:v>1</x:v>
      </x:c>
      <x:c r="J247" s="40" t="n">
        <x:f>B247/1000000000</x:f>
        <x:v>20.1</x:v>
      </x:c>
      <x:c r="K247" s="41" t="n">
        <x:f>IF(C247&lt;0,NA(),(F247-B247)/1000000)</x:f>
        <x:v>0.078188</x:v>
      </x:c>
      <x:c r="L247" s="39" t="n">
        <x:f>IF(C247&lt;0,1,IF(OR(G247=0,H247=0,I247=0,F247-B247&gt;100000000),1,0))</x:f>
        <x:v>0</x:v>
      </x:c>
      <x:c r="M247" s="39" t="n">
        <x:f>IF(C247&lt;0,1,0)</x:f>
        <x:v>0</x:v>
      </x:c>
      <x:c r="N247" s="1"/>
      <x:c r="O247" s="1"/>
      <x:c r="P247" s="1"/>
      <x:c r="Q247" s="1"/>
      <x:c r="R247" s="1"/>
    </x:row>
    <x:row r="248" ht="22" customHeight="1">
      <x:c r="A248" s="39" t="n">
        <x:v>202</x:v>
      </x:c>
      <x:c r="B248" s="39" t="n">
        <x:v>20200000000</x:v>
      </x:c>
      <x:c r="C248" s="39" t="n">
        <x:v>20200054873</x:v>
      </x:c>
      <x:c r="D248" s="39" t="n">
        <x:v>20200069150</x:v>
      </x:c>
      <x:c r="E248" s="39" t="n">
        <x:v>20200082872</x:v>
      </x:c>
      <x:c r="F248" s="39" t="n">
        <x:v>20200092520</x:v>
      </x:c>
      <x:c r="G248" s="39" t="n">
        <x:v>1</x:v>
      </x:c>
      <x:c r="H248" s="39" t="n">
        <x:v>1</x:v>
      </x:c>
      <x:c r="I248" s="39" t="n">
        <x:v>1</x:v>
      </x:c>
      <x:c r="J248" s="40" t="n">
        <x:f>B248/1000000000</x:f>
        <x:v>20.2</x:v>
      </x:c>
      <x:c r="K248" s="41" t="n">
        <x:f>IF(C248&lt;0,NA(),(F248-B248)/1000000)</x:f>
        <x:v>0.09252</x:v>
      </x:c>
      <x:c r="L248" s="39" t="n">
        <x:f>IF(C248&lt;0,1,IF(OR(G248=0,H248=0,I248=0,F248-B248&gt;100000000),1,0))</x:f>
        <x:v>0</x:v>
      </x:c>
      <x:c r="M248" s="39" t="n">
        <x:f>IF(C248&lt;0,1,0)</x:f>
        <x:v>0</x:v>
      </x:c>
      <x:c r="N248" s="1"/>
      <x:c r="O248" s="1"/>
      <x:c r="P248" s="1"/>
      <x:c r="Q248" s="1"/>
      <x:c r="R248" s="1"/>
    </x:row>
    <x:row r="249" ht="22" customHeight="1">
      <x:c r="A249" s="39" t="n">
        <x:v>203</x:v>
      </x:c>
      <x:c r="B249" s="39" t="n">
        <x:v>20300000000</x:v>
      </x:c>
      <x:c r="C249" s="39" t="n">
        <x:v>20300053983</x:v>
      </x:c>
      <x:c r="D249" s="39" t="n">
        <x:v>20300063724</x:v>
      </x:c>
      <x:c r="E249" s="39" t="n">
        <x:v>20300073983</x:v>
      </x:c>
      <x:c r="F249" s="39" t="n">
        <x:v>20300083464</x:v>
      </x:c>
      <x:c r="G249" s="39" t="n">
        <x:v>1</x:v>
      </x:c>
      <x:c r="H249" s="39" t="n">
        <x:v>1</x:v>
      </x:c>
      <x:c r="I249" s="39" t="n">
        <x:v>1</x:v>
      </x:c>
      <x:c r="J249" s="40" t="n">
        <x:f>B249/1000000000</x:f>
        <x:v>20.3</x:v>
      </x:c>
      <x:c r="K249" s="41" t="n">
        <x:f>IF(C249&lt;0,NA(),(F249-B249)/1000000)</x:f>
        <x:v>0.083464</x:v>
      </x:c>
      <x:c r="L249" s="39" t="n">
        <x:f>IF(C249&lt;0,1,IF(OR(G249=0,H249=0,I249=0,F249-B249&gt;100000000),1,0))</x:f>
        <x:v>0</x:v>
      </x:c>
      <x:c r="M249" s="39" t="n">
        <x:f>IF(C249&lt;0,1,0)</x:f>
        <x:v>0</x:v>
      </x:c>
      <x:c r="N249" s="1"/>
      <x:c r="O249" s="1"/>
      <x:c r="P249" s="1"/>
      <x:c r="Q249" s="1"/>
      <x:c r="R249" s="1"/>
    </x:row>
    <x:row r="250" ht="22" customHeight="1">
      <x:c r="A250" s="39" t="n">
        <x:v>204</x:v>
      </x:c>
      <x:c r="B250" s="39" t="n">
        <x:v>20400000000</x:v>
      </x:c>
      <x:c r="C250" s="39" t="n">
        <x:v>20400056427</x:v>
      </x:c>
      <x:c r="D250" s="39" t="n">
        <x:v>20400080018</x:v>
      </x:c>
      <x:c r="E250" s="39" t="n">
        <x:v>20400100962</x:v>
      </x:c>
      <x:c r="F250" s="39" t="n">
        <x:v>20400110739</x:v>
      </x:c>
      <x:c r="G250" s="39" t="n">
        <x:v>1</x:v>
      </x:c>
      <x:c r="H250" s="39" t="n">
        <x:v>1</x:v>
      </x:c>
      <x:c r="I250" s="39" t="n">
        <x:v>1</x:v>
      </x:c>
      <x:c r="J250" s="40" t="n">
        <x:f>B250/1000000000</x:f>
        <x:v>20.4</x:v>
      </x:c>
      <x:c r="K250" s="41" t="n">
        <x:f>IF(C250&lt;0,NA(),(F250-B250)/1000000)</x:f>
        <x:v>0.110739</x:v>
      </x:c>
      <x:c r="L250" s="39" t="n">
        <x:f>IF(C250&lt;0,1,IF(OR(G250=0,H250=0,I250=0,F250-B250&gt;100000000),1,0))</x:f>
        <x:v>0</x:v>
      </x:c>
      <x:c r="M250" s="39" t="n">
        <x:f>IF(C250&lt;0,1,0)</x:f>
        <x:v>0</x:v>
      </x:c>
      <x:c r="N250" s="1"/>
      <x:c r="O250" s="1"/>
      <x:c r="P250" s="1"/>
      <x:c r="Q250" s="1"/>
      <x:c r="R250" s="1"/>
    </x:row>
    <x:row r="251" ht="22" customHeight="1">
      <x:c r="A251" s="39" t="n">
        <x:v>205</x:v>
      </x:c>
      <x:c r="B251" s="39" t="n">
        <x:v>20500000000</x:v>
      </x:c>
      <x:c r="C251" s="39" t="n">
        <x:v>20500052611</x:v>
      </x:c>
      <x:c r="D251" s="39" t="n">
        <x:v>20500066296</x:v>
      </x:c>
      <x:c r="E251" s="39" t="n">
        <x:v>20500078166</x:v>
      </x:c>
      <x:c r="F251" s="39" t="n">
        <x:v>20500087702</x:v>
      </x:c>
      <x:c r="G251" s="39" t="n">
        <x:v>1</x:v>
      </x:c>
      <x:c r="H251" s="39" t="n">
        <x:v>1</x:v>
      </x:c>
      <x:c r="I251" s="39" t="n">
        <x:v>1</x:v>
      </x:c>
      <x:c r="J251" s="40" t="n">
        <x:f>B251/1000000000</x:f>
        <x:v>20.5</x:v>
      </x:c>
      <x:c r="K251" s="41" t="n">
        <x:f>IF(C251&lt;0,NA(),(F251-B251)/1000000)</x:f>
        <x:v>0.087702</x:v>
      </x:c>
      <x:c r="L251" s="39" t="n">
        <x:f>IF(C251&lt;0,1,IF(OR(G251=0,H251=0,I251=0,F251-B251&gt;100000000),1,0))</x:f>
        <x:v>0</x:v>
      </x:c>
      <x:c r="M251" s="39" t="n">
        <x:f>IF(C251&lt;0,1,0)</x:f>
        <x:v>0</x:v>
      </x:c>
      <x:c r="N251" s="1"/>
      <x:c r="O251" s="1"/>
      <x:c r="P251" s="1"/>
      <x:c r="Q251" s="1"/>
      <x:c r="R251" s="1"/>
    </x:row>
    <x:row r="252" ht="22" customHeight="1">
      <x:c r="A252" s="39" t="n">
        <x:v>206</x:v>
      </x:c>
      <x:c r="B252" s="39" t="n">
        <x:v>20600000000</x:v>
      </x:c>
      <x:c r="C252" s="39" t="n">
        <x:v>20600053536</x:v>
      </x:c>
      <x:c r="D252" s="39" t="n">
        <x:v>20600064443</x:v>
      </x:c>
      <x:c r="E252" s="39" t="n">
        <x:v>20600077128</x:v>
      </x:c>
      <x:c r="F252" s="39" t="n">
        <x:v>20600086664</x:v>
      </x:c>
      <x:c r="G252" s="39" t="n">
        <x:v>1</x:v>
      </x:c>
      <x:c r="H252" s="39" t="n">
        <x:v>1</x:v>
      </x:c>
      <x:c r="I252" s="39" t="n">
        <x:v>1</x:v>
      </x:c>
      <x:c r="J252" s="40" t="n">
        <x:f>B252/1000000000</x:f>
        <x:v>20.6</x:v>
      </x:c>
      <x:c r="K252" s="41" t="n">
        <x:f>IF(C252&lt;0,NA(),(F252-B252)/1000000)</x:f>
        <x:v>0.086664</x:v>
      </x:c>
      <x:c r="L252" s="39" t="n">
        <x:f>IF(C252&lt;0,1,IF(OR(G252=0,H252=0,I252=0,F252-B252&gt;100000000),1,0))</x:f>
        <x:v>0</x:v>
      </x:c>
      <x:c r="M252" s="39" t="n">
        <x:f>IF(C252&lt;0,1,0)</x:f>
        <x:v>0</x:v>
      </x:c>
      <x:c r="N252" s="1"/>
      <x:c r="O252" s="1"/>
      <x:c r="P252" s="1"/>
      <x:c r="Q252" s="1"/>
      <x:c r="R252" s="1"/>
    </x:row>
    <x:row r="253" ht="22" customHeight="1">
      <x:c r="A253" s="39" t="n">
        <x:v>207</x:v>
      </x:c>
      <x:c r="B253" s="39" t="n">
        <x:v>20700000000</x:v>
      </x:c>
      <x:c r="C253" s="39" t="n">
        <x:v>20700051017</x:v>
      </x:c>
      <x:c r="D253" s="39" t="n">
        <x:v>20700058665</x:v>
      </x:c>
      <x:c r="E253" s="39" t="n">
        <x:v>20700066961</x:v>
      </x:c>
      <x:c r="F253" s="39" t="n">
        <x:v>20700076238</x:v>
      </x:c>
      <x:c r="G253" s="39" t="n">
        <x:v>1</x:v>
      </x:c>
      <x:c r="H253" s="39" t="n">
        <x:v>1</x:v>
      </x:c>
      <x:c r="I253" s="39" t="n">
        <x:v>1</x:v>
      </x:c>
      <x:c r="J253" s="40" t="n">
        <x:f>B253/1000000000</x:f>
        <x:v>20.7</x:v>
      </x:c>
      <x:c r="K253" s="41" t="n">
        <x:f>IF(C253&lt;0,NA(),(F253-B253)/1000000)</x:f>
        <x:v>0.076238</x:v>
      </x:c>
      <x:c r="L253" s="39" t="n">
        <x:f>IF(C253&lt;0,1,IF(OR(G253=0,H253=0,I253=0,F253-B253&gt;100000000),1,0))</x:f>
        <x:v>0</x:v>
      </x:c>
      <x:c r="M253" s="39" t="n">
        <x:f>IF(C253&lt;0,1,0)</x:f>
        <x:v>0</x:v>
      </x:c>
      <x:c r="N253" s="1"/>
      <x:c r="O253" s="1"/>
      <x:c r="P253" s="1"/>
      <x:c r="Q253" s="1"/>
      <x:c r="R253" s="1"/>
    </x:row>
    <x:row r="254" ht="22" customHeight="1">
      <x:c r="A254" s="39" t="n">
        <x:v>208</x:v>
      </x:c>
      <x:c r="B254" s="39" t="n">
        <x:v>20800000000</x:v>
      </x:c>
      <x:c r="C254" s="39" t="n">
        <x:v>20800050164</x:v>
      </x:c>
      <x:c r="D254" s="39" t="n">
        <x:v>20800056645</x:v>
      </x:c>
      <x:c r="E254" s="39" t="n">
        <x:v>20800066645</x:v>
      </x:c>
      <x:c r="F254" s="39" t="n">
        <x:v>20800076108</x:v>
      </x:c>
      <x:c r="G254" s="39" t="n">
        <x:v>1</x:v>
      </x:c>
      <x:c r="H254" s="39" t="n">
        <x:v>1</x:v>
      </x:c>
      <x:c r="I254" s="39" t="n">
        <x:v>1</x:v>
      </x:c>
      <x:c r="J254" s="40" t="n">
        <x:f>B254/1000000000</x:f>
        <x:v>20.8</x:v>
      </x:c>
      <x:c r="K254" s="41" t="n">
        <x:f>IF(C254&lt;0,NA(),(F254-B254)/1000000)</x:f>
        <x:v>0.076108</x:v>
      </x:c>
      <x:c r="L254" s="39" t="n">
        <x:f>IF(C254&lt;0,1,IF(OR(G254=0,H254=0,I254=0,F254-B254&gt;100000000),1,0))</x:f>
        <x:v>0</x:v>
      </x:c>
      <x:c r="M254" s="39" t="n">
        <x:f>IF(C254&lt;0,1,0)</x:f>
        <x:v>0</x:v>
      </x:c>
      <x:c r="N254" s="1"/>
      <x:c r="O254" s="1"/>
      <x:c r="P254" s="1"/>
      <x:c r="Q254" s="1"/>
      <x:c r="R254" s="1"/>
    </x:row>
    <x:row r="255" ht="22" customHeight="1">
      <x:c r="A255" s="39" t="n">
        <x:v>209</x:v>
      </x:c>
      <x:c r="B255" s="39" t="n">
        <x:v>20900000000</x:v>
      </x:c>
      <x:c r="C255" s="39" t="n">
        <x:v>20900050587</x:v>
      </x:c>
      <x:c r="D255" s="39" t="n">
        <x:v>20900058716</x:v>
      </x:c>
      <x:c r="E255" s="39" t="n">
        <x:v>20900071234</x:v>
      </x:c>
      <x:c r="F255" s="39" t="n">
        <x:v>20900080845</x:v>
      </x:c>
      <x:c r="G255" s="39" t="n">
        <x:v>1</x:v>
      </x:c>
      <x:c r="H255" s="39" t="n">
        <x:v>1</x:v>
      </x:c>
      <x:c r="I255" s="39" t="n">
        <x:v>1</x:v>
      </x:c>
      <x:c r="J255" s="40" t="n">
        <x:f>B255/1000000000</x:f>
        <x:v>20.9</x:v>
      </x:c>
      <x:c r="K255" s="41" t="n">
        <x:f>IF(C255&lt;0,NA(),(F255-B255)/1000000)</x:f>
        <x:v>0.080845</x:v>
      </x:c>
      <x:c r="L255" s="39" t="n">
        <x:f>IF(C255&lt;0,1,IF(OR(G255=0,H255=0,I255=0,F255-B255&gt;100000000),1,0))</x:f>
        <x:v>0</x:v>
      </x:c>
      <x:c r="M255" s="39" t="n">
        <x:f>IF(C255&lt;0,1,0)</x:f>
        <x:v>0</x:v>
      </x:c>
      <x:c r="N255" s="1"/>
      <x:c r="O255" s="1"/>
      <x:c r="P255" s="1"/>
      <x:c r="Q255" s="1"/>
      <x:c r="R255" s="1"/>
    </x:row>
    <x:row r="256" ht="22" customHeight="1">
      <x:c r="A256" s="39" t="n">
        <x:v>210</x:v>
      </x:c>
      <x:c r="B256" s="39" t="n">
        <x:v>21000000000</x:v>
      </x:c>
      <x:c r="C256" s="39" t="n">
        <x:v>21000057957</x:v>
      </x:c>
      <x:c r="D256" s="39" t="n">
        <x:v>21000083863</x:v>
      </x:c>
      <x:c r="E256" s="39" t="n">
        <x:v>21000106844</x:v>
      </x:c>
      <x:c r="F256" s="39" t="n">
        <x:v>21000116695</x:v>
      </x:c>
      <x:c r="G256" s="39" t="n">
        <x:v>1</x:v>
      </x:c>
      <x:c r="H256" s="39" t="n">
        <x:v>1</x:v>
      </x:c>
      <x:c r="I256" s="39" t="n">
        <x:v>1</x:v>
      </x:c>
      <x:c r="J256" s="40" t="n">
        <x:f>B256/1000000000</x:f>
        <x:v>21</x:v>
      </x:c>
      <x:c r="K256" s="41" t="n">
        <x:f>IF(C256&lt;0,NA(),(F256-B256)/1000000)</x:f>
        <x:v>0.116695</x:v>
      </x:c>
      <x:c r="L256" s="39" t="n">
        <x:f>IF(C256&lt;0,1,IF(OR(G256=0,H256=0,I256=0,F256-B256&gt;100000000),1,0))</x:f>
        <x:v>0</x:v>
      </x:c>
      <x:c r="M256" s="39" t="n">
        <x:f>IF(C256&lt;0,1,0)</x:f>
        <x:v>0</x:v>
      </x:c>
      <x:c r="N256" s="1"/>
      <x:c r="O256" s="1"/>
      <x:c r="P256" s="1"/>
      <x:c r="Q256" s="1"/>
      <x:c r="R256" s="1"/>
    </x:row>
    <x:row r="257" ht="22" customHeight="1">
      <x:c r="A257" s="39" t="n">
        <x:v>211</x:v>
      </x:c>
      <x:c r="B257" s="39" t="n">
        <x:v>21100000000</x:v>
      </x:c>
      <x:c r="C257" s="39" t="n">
        <x:v>21100051698</x:v>
      </x:c>
      <x:c r="D257" s="39" t="n">
        <x:v>21100066049</x:v>
      </x:c>
      <x:c r="E257" s="39" t="n">
        <x:v>21100080419</x:v>
      </x:c>
      <x:c r="F257" s="39" t="n">
        <x:v>21100090271</x:v>
      </x:c>
      <x:c r="G257" s="39" t="n">
        <x:v>1</x:v>
      </x:c>
      <x:c r="H257" s="39" t="n">
        <x:v>1</x:v>
      </x:c>
      <x:c r="I257" s="39" t="n">
        <x:v>1</x:v>
      </x:c>
      <x:c r="J257" s="40" t="n">
        <x:f>B257/1000000000</x:f>
        <x:v>21.1</x:v>
      </x:c>
      <x:c r="K257" s="41" t="n">
        <x:f>IF(C257&lt;0,NA(),(F257-B257)/1000000)</x:f>
        <x:v>0.090271</x:v>
      </x:c>
      <x:c r="L257" s="39" t="n">
        <x:f>IF(C257&lt;0,1,IF(OR(G257=0,H257=0,I257=0,F257-B257&gt;100000000),1,0))</x:f>
        <x:v>0</x:v>
      </x:c>
      <x:c r="M257" s="39" t="n">
        <x:f>IF(C257&lt;0,1,0)</x:f>
        <x:v>0</x:v>
      </x:c>
      <x:c r="N257" s="1"/>
      <x:c r="O257" s="1"/>
      <x:c r="P257" s="1"/>
      <x:c r="Q257" s="1"/>
      <x:c r="R257" s="1"/>
    </x:row>
    <x:row r="258" ht="22" customHeight="1">
      <x:c r="A258" s="39" t="n">
        <x:v>212</x:v>
      </x:c>
      <x:c r="B258" s="39" t="n">
        <x:v>21200000000</x:v>
      </x:c>
      <x:c r="C258" s="39" t="n">
        <x:v>21200056068</x:v>
      </x:c>
      <x:c r="D258" s="39" t="n">
        <x:v>21200070049</x:v>
      </x:c>
      <x:c r="E258" s="39" t="n">
        <x:v>21200085141</x:v>
      </x:c>
      <x:c r="F258" s="39" t="n">
        <x:v>21200094678</x:v>
      </x:c>
      <x:c r="G258" s="39" t="n">
        <x:v>1</x:v>
      </x:c>
      <x:c r="H258" s="39" t="n">
        <x:v>1</x:v>
      </x:c>
      <x:c r="I258" s="39" t="n">
        <x:v>1</x:v>
      </x:c>
      <x:c r="J258" s="40" t="n">
        <x:f>B258/1000000000</x:f>
        <x:v>21.2</x:v>
      </x:c>
      <x:c r="K258" s="41" t="n">
        <x:f>IF(C258&lt;0,NA(),(F258-B258)/1000000)</x:f>
        <x:v>0.094678</x:v>
      </x:c>
      <x:c r="L258" s="39" t="n">
        <x:f>IF(C258&lt;0,1,IF(OR(G258=0,H258=0,I258=0,F258-B258&gt;100000000),1,0))</x:f>
        <x:v>0</x:v>
      </x:c>
      <x:c r="M258" s="39" t="n">
        <x:f>IF(C258&lt;0,1,0)</x:f>
        <x:v>0</x:v>
      </x:c>
      <x:c r="N258" s="1"/>
      <x:c r="O258" s="1"/>
      <x:c r="P258" s="1"/>
      <x:c r="Q258" s="1"/>
      <x:c r="R258" s="1"/>
    </x:row>
    <x:row r="259" ht="22" customHeight="1">
      <x:c r="A259" s="39" t="n">
        <x:v>213</x:v>
      </x:c>
      <x:c r="B259" s="39" t="n">
        <x:v>21300000000</x:v>
      </x:c>
      <x:c r="C259" s="39" t="n">
        <x:v>21300054902</x:v>
      </x:c>
      <x:c r="D259" s="39" t="n">
        <x:v>21300074364</x:v>
      </x:c>
      <x:c r="E259" s="39" t="n">
        <x:v>21300091641</x:v>
      </x:c>
      <x:c r="F259" s="39" t="n">
        <x:v>21300101326</x:v>
      </x:c>
      <x:c r="G259" s="39" t="n">
        <x:v>1</x:v>
      </x:c>
      <x:c r="H259" s="39" t="n">
        <x:v>1</x:v>
      </x:c>
      <x:c r="I259" s="39" t="n">
        <x:v>1</x:v>
      </x:c>
      <x:c r="J259" s="40" t="n">
        <x:f>B259/1000000000</x:f>
        <x:v>21.3</x:v>
      </x:c>
      <x:c r="K259" s="41" t="n">
        <x:f>IF(C259&lt;0,NA(),(F259-B259)/1000000)</x:f>
        <x:v>0.101326</x:v>
      </x:c>
      <x:c r="L259" s="39" t="n">
        <x:f>IF(C259&lt;0,1,IF(OR(G259=0,H259=0,I259=0,F259-B259&gt;100000000),1,0))</x:f>
        <x:v>0</x:v>
      </x:c>
      <x:c r="M259" s="39" t="n">
        <x:f>IF(C259&lt;0,1,0)</x:f>
        <x:v>0</x:v>
      </x:c>
      <x:c r="N259" s="1"/>
      <x:c r="O259" s="1"/>
      <x:c r="P259" s="1"/>
      <x:c r="Q259" s="1"/>
      <x:c r="R259" s="1"/>
    </x:row>
    <x:row r="260" ht="22" customHeight="1">
      <x:c r="A260" s="39" t="n">
        <x:v>214</x:v>
      </x:c>
      <x:c r="B260" s="39" t="n">
        <x:v>21400000000</x:v>
      </x:c>
      <x:c r="C260" s="39" t="n">
        <x:v>21400050625</x:v>
      </x:c>
      <x:c r="D260" s="39" t="n">
        <x:v>21400057569</x:v>
      </x:c>
      <x:c r="E260" s="39" t="n">
        <x:v>21400065217</x:v>
      </x:c>
      <x:c r="F260" s="39" t="n">
        <x:v>21400074605</x:v>
      </x:c>
      <x:c r="G260" s="39" t="n">
        <x:v>1</x:v>
      </x:c>
      <x:c r="H260" s="39" t="n">
        <x:v>1</x:v>
      </x:c>
      <x:c r="I260" s="39" t="n">
        <x:v>1</x:v>
      </x:c>
      <x:c r="J260" s="40" t="n">
        <x:f>B260/1000000000</x:f>
        <x:v>21.4</x:v>
      </x:c>
      <x:c r="K260" s="41" t="n">
        <x:f>IF(C260&lt;0,NA(),(F260-B260)/1000000)</x:f>
        <x:v>0.074605</x:v>
      </x:c>
      <x:c r="L260" s="39" t="n">
        <x:f>IF(C260&lt;0,1,IF(OR(G260=0,H260=0,I260=0,F260-B260&gt;100000000),1,0))</x:f>
        <x:v>0</x:v>
      </x:c>
      <x:c r="M260" s="39" t="n">
        <x:f>IF(C260&lt;0,1,0)</x:f>
        <x:v>0</x:v>
      </x:c>
      <x:c r="N260" s="1"/>
      <x:c r="O260" s="1"/>
      <x:c r="P260" s="1"/>
      <x:c r="Q260" s="1"/>
      <x:c r="R260" s="1"/>
    </x:row>
    <x:row r="261" ht="22" customHeight="1">
      <x:c r="A261" s="39" t="n">
        <x:v>215</x:v>
      </x:c>
      <x:c r="B261" s="39" t="n">
        <x:v>21500000000</x:v>
      </x:c>
      <x:c r="C261" s="39" t="n">
        <x:v>21500053773</x:v>
      </x:c>
      <x:c r="D261" s="39" t="n">
        <x:v>21500069976</x:v>
      </x:c>
      <x:c r="E261" s="39" t="n">
        <x:v>21500083901</x:v>
      </x:c>
      <x:c r="F261" s="39" t="n">
        <x:v>21500093456</x:v>
      </x:c>
      <x:c r="G261" s="39" t="n">
        <x:v>1</x:v>
      </x:c>
      <x:c r="H261" s="39" t="n">
        <x:v>1</x:v>
      </x:c>
      <x:c r="I261" s="39" t="n">
        <x:v>1</x:v>
      </x:c>
      <x:c r="J261" s="40" t="n">
        <x:f>B261/1000000000</x:f>
        <x:v>21.5</x:v>
      </x:c>
      <x:c r="K261" s="41" t="n">
        <x:f>IF(C261&lt;0,NA(),(F261-B261)/1000000)</x:f>
        <x:v>0.093456</x:v>
      </x:c>
      <x:c r="L261" s="39" t="n">
        <x:f>IF(C261&lt;0,1,IF(OR(G261=0,H261=0,I261=0,F261-B261&gt;100000000),1,0))</x:f>
        <x:v>0</x:v>
      </x:c>
      <x:c r="M261" s="39" t="n">
        <x:f>IF(C261&lt;0,1,0)</x:f>
        <x:v>0</x:v>
      </x:c>
      <x:c r="N261" s="1"/>
      <x:c r="O261" s="1"/>
      <x:c r="P261" s="1"/>
      <x:c r="Q261" s="1"/>
      <x:c r="R261" s="1"/>
    </x:row>
    <x:row r="262" ht="22" customHeight="1">
      <x:c r="A262" s="39" t="n">
        <x:v>216</x:v>
      </x:c>
      <x:c r="B262" s="39" t="n">
        <x:v>21600000000</x:v>
      </x:c>
      <x:c r="C262" s="39" t="n">
        <x:v>21600056995</x:v>
      </x:c>
      <x:c r="D262" s="39" t="n">
        <x:v>21600098345</x:v>
      </x:c>
      <x:c r="E262" s="39" t="n">
        <x:v>21600125566</x:v>
      </x:c>
      <x:c r="F262" s="39" t="n">
        <x:v>21600135973</x:v>
      </x:c>
      <x:c r="G262" s="39" t="n">
        <x:v>1</x:v>
      </x:c>
      <x:c r="H262" s="39" t="n">
        <x:v>1</x:v>
      </x:c>
      <x:c r="I262" s="39" t="n">
        <x:v>1</x:v>
      </x:c>
      <x:c r="J262" s="40" t="n">
        <x:f>B262/1000000000</x:f>
        <x:v>21.6</x:v>
      </x:c>
      <x:c r="K262" s="41" t="n">
        <x:f>IF(C262&lt;0,NA(),(F262-B262)/1000000)</x:f>
        <x:v>0.135973</x:v>
      </x:c>
      <x:c r="L262" s="39" t="n">
        <x:f>IF(C262&lt;0,1,IF(OR(G262=0,H262=0,I262=0,F262-B262&gt;100000000),1,0))</x:f>
        <x:v>0</x:v>
      </x:c>
      <x:c r="M262" s="39" t="n">
        <x:f>IF(C262&lt;0,1,0)</x:f>
        <x:v>0</x:v>
      </x:c>
      <x:c r="N262" s="1"/>
      <x:c r="O262" s="1"/>
      <x:c r="P262" s="1"/>
      <x:c r="Q262" s="1"/>
      <x:c r="R262" s="1"/>
    </x:row>
    <x:row r="263" ht="22" customHeight="1">
      <x:c r="A263" s="39" t="n">
        <x:v>217</x:v>
      </x:c>
      <x:c r="B263" s="39" t="n">
        <x:v>21700000000</x:v>
      </x:c>
      <x:c r="C263" s="39" t="n">
        <x:v>21700051940</x:v>
      </x:c>
      <x:c r="D263" s="39" t="n">
        <x:v>21700060717</x:v>
      </x:c>
      <x:c r="E263" s="39" t="n">
        <x:v>21700071235</x:v>
      </x:c>
      <x:c r="F263" s="39" t="n">
        <x:v>21700080605</x:v>
      </x:c>
      <x:c r="G263" s="39" t="n">
        <x:v>1</x:v>
      </x:c>
      <x:c r="H263" s="39" t="n">
        <x:v>1</x:v>
      </x:c>
      <x:c r="I263" s="39" t="n">
        <x:v>1</x:v>
      </x:c>
      <x:c r="J263" s="40" t="n">
        <x:f>B263/1000000000</x:f>
        <x:v>21.7</x:v>
      </x:c>
      <x:c r="K263" s="41" t="n">
        <x:f>IF(C263&lt;0,NA(),(F263-B263)/1000000)</x:f>
        <x:v>0.080605</x:v>
      </x:c>
      <x:c r="L263" s="39" t="n">
        <x:f>IF(C263&lt;0,1,IF(OR(G263=0,H263=0,I263=0,F263-B263&gt;100000000),1,0))</x:f>
        <x:v>0</x:v>
      </x:c>
      <x:c r="M263" s="39" t="n">
        <x:f>IF(C263&lt;0,1,0)</x:f>
        <x:v>0</x:v>
      </x:c>
      <x:c r="N263" s="1"/>
      <x:c r="O263" s="1"/>
      <x:c r="P263" s="1"/>
      <x:c r="Q263" s="1"/>
      <x:c r="R263" s="1"/>
    </x:row>
    <x:row r="264" ht="22" customHeight="1">
      <x:c r="A264" s="39" t="n">
        <x:v>218</x:v>
      </x:c>
      <x:c r="B264" s="39" t="n">
        <x:v>21800000000</x:v>
      </x:c>
      <x:c r="C264" s="39" t="n">
        <x:v>21800053884</x:v>
      </x:c>
      <x:c r="D264" s="39" t="n">
        <x:v>21800065643</x:v>
      </x:c>
      <x:c r="E264" s="39" t="n">
        <x:v>21800077976</x:v>
      </x:c>
      <x:c r="F264" s="39" t="n">
        <x:v>21800087457</x:v>
      </x:c>
      <x:c r="G264" s="39" t="n">
        <x:v>1</x:v>
      </x:c>
      <x:c r="H264" s="39" t="n">
        <x:v>1</x:v>
      </x:c>
      <x:c r="I264" s="39" t="n">
        <x:v>1</x:v>
      </x:c>
      <x:c r="J264" s="40" t="n">
        <x:f>B264/1000000000</x:f>
        <x:v>21.8</x:v>
      </x:c>
      <x:c r="K264" s="41" t="n">
        <x:f>IF(C264&lt;0,NA(),(F264-B264)/1000000)</x:f>
        <x:v>0.087457</x:v>
      </x:c>
      <x:c r="L264" s="39" t="n">
        <x:f>IF(C264&lt;0,1,IF(OR(G264=0,H264=0,I264=0,F264-B264&gt;100000000),1,0))</x:f>
        <x:v>0</x:v>
      </x:c>
      <x:c r="M264" s="39" t="n">
        <x:f>IF(C264&lt;0,1,0)</x:f>
        <x:v>0</x:v>
      </x:c>
      <x:c r="N264" s="1"/>
      <x:c r="O264" s="1"/>
      <x:c r="P264" s="1"/>
      <x:c r="Q264" s="1"/>
      <x:c r="R264" s="1"/>
    </x:row>
    <x:row r="265" ht="22" customHeight="1">
      <x:c r="A265" s="39" t="n">
        <x:v>219</x:v>
      </x:c>
      <x:c r="B265" s="39" t="n">
        <x:v>21900000000</x:v>
      </x:c>
      <x:c r="C265" s="39" t="n">
        <x:v>21900057647</x:v>
      </x:c>
      <x:c r="D265" s="39" t="n">
        <x:v>21900082035</x:v>
      </x:c>
      <x:c r="E265" s="39" t="n">
        <x:v>21900104738</x:v>
      </x:c>
      <x:c r="F265" s="39" t="n">
        <x:v>21900115015</x:v>
      </x:c>
      <x:c r="G265" s="39" t="n">
        <x:v>1</x:v>
      </x:c>
      <x:c r="H265" s="39" t="n">
        <x:v>1</x:v>
      </x:c>
      <x:c r="I265" s="39" t="n">
        <x:v>1</x:v>
      </x:c>
      <x:c r="J265" s="40" t="n">
        <x:f>B265/1000000000</x:f>
        <x:v>21.9</x:v>
      </x:c>
      <x:c r="K265" s="41" t="n">
        <x:f>IF(C265&lt;0,NA(),(F265-B265)/1000000)</x:f>
        <x:v>0.115015</x:v>
      </x:c>
      <x:c r="L265" s="39" t="n">
        <x:f>IF(C265&lt;0,1,IF(OR(G265=0,H265=0,I265=0,F265-B265&gt;100000000),1,0))</x:f>
        <x:v>0</x:v>
      </x:c>
      <x:c r="M265" s="39" t="n">
        <x:f>IF(C265&lt;0,1,0)</x:f>
        <x:v>0</x:v>
      </x:c>
      <x:c r="N265" s="1"/>
      <x:c r="O265" s="1"/>
      <x:c r="P265" s="1"/>
      <x:c r="Q265" s="1"/>
      <x:c r="R265" s="1"/>
    </x:row>
    <x:row r="266" ht="22" customHeight="1">
      <x:c r="A266" s="39" t="n">
        <x:v>220</x:v>
      </x:c>
      <x:c r="B266" s="39" t="n">
        <x:v>22000000000</x:v>
      </x:c>
      <x:c r="C266" s="39" t="n">
        <x:v>22000053265</x:v>
      </x:c>
      <x:c r="D266" s="39" t="n">
        <x:v>22000064765</x:v>
      </x:c>
      <x:c r="E266" s="39" t="n">
        <x:v>22000076450</x:v>
      </x:c>
      <x:c r="F266" s="39" t="n">
        <x:v>22000086023</x:v>
      </x:c>
      <x:c r="G266" s="39" t="n">
        <x:v>1</x:v>
      </x:c>
      <x:c r="H266" s="39" t="n">
        <x:v>1</x:v>
      </x:c>
      <x:c r="I266" s="39" t="n">
        <x:v>1</x:v>
      </x:c>
      <x:c r="J266" s="40" t="n">
        <x:f>B266/1000000000</x:f>
        <x:v>22</x:v>
      </x:c>
      <x:c r="K266" s="41" t="n">
        <x:f>IF(C266&lt;0,NA(),(F266-B266)/1000000)</x:f>
        <x:v>0.086023</x:v>
      </x:c>
      <x:c r="L266" s="39" t="n">
        <x:f>IF(C266&lt;0,1,IF(OR(G266=0,H266=0,I266=0,F266-B266&gt;100000000),1,0))</x:f>
        <x:v>0</x:v>
      </x:c>
      <x:c r="M266" s="39" t="n">
        <x:f>IF(C266&lt;0,1,0)</x:f>
        <x:v>0</x:v>
      </x:c>
      <x:c r="N266" s="1"/>
      <x:c r="O266" s="1"/>
      <x:c r="P266" s="1"/>
      <x:c r="Q266" s="1"/>
      <x:c r="R266" s="1"/>
    </x:row>
    <x:row r="267" ht="22" customHeight="1">
      <x:c r="A267" s="39" t="n">
        <x:v>221</x:v>
      </x:c>
      <x:c r="B267" s="39" t="n">
        <x:v>22100000000</x:v>
      </x:c>
      <x:c r="C267" s="39" t="n">
        <x:v>22100053328</x:v>
      </x:c>
      <x:c r="D267" s="39" t="n">
        <x:v>22100061865</x:v>
      </x:c>
      <x:c r="E267" s="39" t="n">
        <x:v>22100070827</x:v>
      </x:c>
      <x:c r="F267" s="39" t="n">
        <x:v>22100080271</x:v>
      </x:c>
      <x:c r="G267" s="39" t="n">
        <x:v>1</x:v>
      </x:c>
      <x:c r="H267" s="39" t="n">
        <x:v>1</x:v>
      </x:c>
      <x:c r="I267" s="39" t="n">
        <x:v>1</x:v>
      </x:c>
      <x:c r="J267" s="40" t="n">
        <x:f>B267/1000000000</x:f>
        <x:v>22.1</x:v>
      </x:c>
      <x:c r="K267" s="41" t="n">
        <x:f>IF(C267&lt;0,NA(),(F267-B267)/1000000)</x:f>
        <x:v>0.080271</x:v>
      </x:c>
      <x:c r="L267" s="39" t="n">
        <x:f>IF(C267&lt;0,1,IF(OR(G267=0,H267=0,I267=0,F267-B267&gt;100000000),1,0))</x:f>
        <x:v>0</x:v>
      </x:c>
      <x:c r="M267" s="39" t="n">
        <x:f>IF(C267&lt;0,1,0)</x:f>
        <x:v>0</x:v>
      </x:c>
      <x:c r="N267" s="1"/>
      <x:c r="O267" s="1"/>
      <x:c r="P267" s="1"/>
      <x:c r="Q267" s="1"/>
      <x:c r="R267" s="1"/>
    </x:row>
    <x:row r="268" ht="22" customHeight="1">
      <x:c r="A268" s="39" t="n">
        <x:v>222</x:v>
      </x:c>
      <x:c r="B268" s="39" t="n">
        <x:v>22200000000</x:v>
      </x:c>
      <x:c r="C268" s="39" t="n">
        <x:v>22200057335</x:v>
      </x:c>
      <x:c r="D268" s="39" t="n">
        <x:v>22200084759</x:v>
      </x:c>
      <x:c r="E268" s="39" t="n">
        <x:v>22200110258</x:v>
      </x:c>
      <x:c r="F268" s="39" t="n">
        <x:v>22200120240</x:v>
      </x:c>
      <x:c r="G268" s="39" t="n">
        <x:v>1</x:v>
      </x:c>
      <x:c r="H268" s="39" t="n">
        <x:v>1</x:v>
      </x:c>
      <x:c r="I268" s="39" t="n">
        <x:v>1</x:v>
      </x:c>
      <x:c r="J268" s="40" t="n">
        <x:f>B268/1000000000</x:f>
        <x:v>22.2</x:v>
      </x:c>
      <x:c r="K268" s="41" t="n">
        <x:f>IF(C268&lt;0,NA(),(F268-B268)/1000000)</x:f>
        <x:v>0.12024</x:v>
      </x:c>
      <x:c r="L268" s="39" t="n">
        <x:f>IF(C268&lt;0,1,IF(OR(G268=0,H268=0,I268=0,F268-B268&gt;100000000),1,0))</x:f>
        <x:v>0</x:v>
      </x:c>
      <x:c r="M268" s="39" t="n">
        <x:f>IF(C268&lt;0,1,0)</x:f>
        <x:v>0</x:v>
      </x:c>
      <x:c r="N268" s="1"/>
      <x:c r="O268" s="1"/>
      <x:c r="P268" s="1"/>
      <x:c r="Q268" s="1"/>
      <x:c r="R268" s="1"/>
    </x:row>
    <x:row r="269" ht="22" customHeight="1">
      <x:c r="A269" s="39" t="n">
        <x:v>223</x:v>
      </x:c>
      <x:c r="B269" s="39" t="n">
        <x:v>22300000000</x:v>
      </x:c>
      <x:c r="C269" s="39" t="n">
        <x:v>22300051194</x:v>
      </x:c>
      <x:c r="D269" s="39" t="n">
        <x:v>22300060138</x:v>
      </x:c>
      <x:c r="E269" s="39" t="n">
        <x:v>22300069637</x:v>
      </x:c>
      <x:c r="F269" s="39" t="n">
        <x:v>22300078952</x:v>
      </x:c>
      <x:c r="G269" s="39" t="n">
        <x:v>1</x:v>
      </x:c>
      <x:c r="H269" s="39" t="n">
        <x:v>1</x:v>
      </x:c>
      <x:c r="I269" s="39" t="n">
        <x:v>1</x:v>
      </x:c>
      <x:c r="J269" s="40" t="n">
        <x:f>B269/1000000000</x:f>
        <x:v>22.3</x:v>
      </x:c>
      <x:c r="K269" s="41" t="n">
        <x:f>IF(C269&lt;0,NA(),(F269-B269)/1000000)</x:f>
        <x:v>0.078952</x:v>
      </x:c>
      <x:c r="L269" s="39" t="n">
        <x:f>IF(C269&lt;0,1,IF(OR(G269=0,H269=0,I269=0,F269-B269&gt;100000000),1,0))</x:f>
        <x:v>0</x:v>
      </x:c>
      <x:c r="M269" s="39" t="n">
        <x:f>IF(C269&lt;0,1,0)</x:f>
        <x:v>0</x:v>
      </x:c>
      <x:c r="N269" s="1"/>
      <x:c r="O269" s="1"/>
      <x:c r="P269" s="1"/>
      <x:c r="Q269" s="1"/>
      <x:c r="R269" s="1"/>
    </x:row>
    <x:row r="270" ht="22" customHeight="1">
      <x:c r="A270" s="39" t="n">
        <x:v>224</x:v>
      </x:c>
      <x:c r="B270" s="39" t="n">
        <x:v>22400000000</x:v>
      </x:c>
      <x:c r="C270" s="39" t="n">
        <x:v>22400050404</x:v>
      </x:c>
      <x:c r="D270" s="39" t="n">
        <x:v>22400056293</x:v>
      </x:c>
      <x:c r="E270" s="39" t="n">
        <x:v>22400064108</x:v>
      </x:c>
      <x:c r="F270" s="39" t="n">
        <x:v>22400073478</x:v>
      </x:c>
      <x:c r="G270" s="39" t="n">
        <x:v>1</x:v>
      </x:c>
      <x:c r="H270" s="39" t="n">
        <x:v>1</x:v>
      </x:c>
      <x:c r="I270" s="39" t="n">
        <x:v>1</x:v>
      </x:c>
      <x:c r="J270" s="40" t="n">
        <x:f>B270/1000000000</x:f>
        <x:v>22.4</x:v>
      </x:c>
      <x:c r="K270" s="41" t="n">
        <x:f>IF(C270&lt;0,NA(),(F270-B270)/1000000)</x:f>
        <x:v>0.073478</x:v>
      </x:c>
      <x:c r="L270" s="39" t="n">
        <x:f>IF(C270&lt;0,1,IF(OR(G270=0,H270=0,I270=0,F270-B270&gt;100000000),1,0))</x:f>
        <x:v>0</x:v>
      </x:c>
      <x:c r="M270" s="39" t="n">
        <x:f>IF(C270&lt;0,1,0)</x:f>
        <x:v>0</x:v>
      </x:c>
      <x:c r="N270" s="1"/>
      <x:c r="O270" s="1"/>
      <x:c r="P270" s="1"/>
      <x:c r="Q270" s="1"/>
      <x:c r="R270" s="1"/>
    </x:row>
    <x:row r="271" ht="22" customHeight="1">
      <x:c r="A271" s="39" t="n">
        <x:v>225</x:v>
      </x:c>
      <x:c r="B271" s="39" t="n">
        <x:v>22500000000</x:v>
      </x:c>
      <x:c r="C271" s="39" t="n">
        <x:v>22500052485</x:v>
      </x:c>
      <x:c r="D271" s="39" t="n">
        <x:v>22500063078</x:v>
      </x:c>
      <x:c r="E271" s="39" t="n">
        <x:v>22500078744</x:v>
      </x:c>
      <x:c r="F271" s="39" t="n">
        <x:v>22500088280</x:v>
      </x:c>
      <x:c r="G271" s="39" t="n">
        <x:v>1</x:v>
      </x:c>
      <x:c r="H271" s="39" t="n">
        <x:v>1</x:v>
      </x:c>
      <x:c r="I271" s="39" t="n">
        <x:v>1</x:v>
      </x:c>
      <x:c r="J271" s="40" t="n">
        <x:f>B271/1000000000</x:f>
        <x:v>22.5</x:v>
      </x:c>
      <x:c r="K271" s="41" t="n">
        <x:f>IF(C271&lt;0,NA(),(F271-B271)/1000000)</x:f>
        <x:v>0.08828</x:v>
      </x:c>
      <x:c r="L271" s="39" t="n">
        <x:f>IF(C271&lt;0,1,IF(OR(G271=0,H271=0,I271=0,F271-B271&gt;100000000),1,0))</x:f>
        <x:v>0</x:v>
      </x:c>
      <x:c r="M271" s="39" t="n">
        <x:f>IF(C271&lt;0,1,0)</x:f>
        <x:v>0</x:v>
      </x:c>
      <x:c r="N271" s="1"/>
      <x:c r="O271" s="1"/>
      <x:c r="P271" s="1"/>
      <x:c r="Q271" s="1"/>
      <x:c r="R271" s="1"/>
    </x:row>
    <x:row r="272" ht="22" customHeight="1">
      <x:c r="A272" s="39" t="n">
        <x:v>226</x:v>
      </x:c>
      <x:c r="B272" s="39" t="n">
        <x:v>22600000000</x:v>
      </x:c>
      <x:c r="C272" s="39" t="n">
        <x:v>22600050974</x:v>
      </x:c>
      <x:c r="D272" s="39" t="n">
        <x:v>22600058826</x:v>
      </x:c>
      <x:c r="E272" s="39" t="n">
        <x:v>22600068418</x:v>
      </x:c>
      <x:c r="F272" s="39" t="n">
        <x:v>22600077825</x:v>
      </x:c>
      <x:c r="G272" s="39" t="n">
        <x:v>1</x:v>
      </x:c>
      <x:c r="H272" s="39" t="n">
        <x:v>1</x:v>
      </x:c>
      <x:c r="I272" s="39" t="n">
        <x:v>1</x:v>
      </x:c>
      <x:c r="J272" s="40" t="n">
        <x:f>B272/1000000000</x:f>
        <x:v>22.6</x:v>
      </x:c>
      <x:c r="K272" s="41" t="n">
        <x:f>IF(C272&lt;0,NA(),(F272-B272)/1000000)</x:f>
        <x:v>0.077825</x:v>
      </x:c>
      <x:c r="L272" s="39" t="n">
        <x:f>IF(C272&lt;0,1,IF(OR(G272=0,H272=0,I272=0,F272-B272&gt;100000000),1,0))</x:f>
        <x:v>0</x:v>
      </x:c>
      <x:c r="M272" s="39" t="n">
        <x:f>IF(C272&lt;0,1,0)</x:f>
        <x:v>0</x:v>
      </x:c>
      <x:c r="N272" s="1"/>
      <x:c r="O272" s="1"/>
      <x:c r="P272" s="1"/>
      <x:c r="Q272" s="1"/>
      <x:c r="R272" s="1"/>
    </x:row>
    <x:row r="273" ht="22" customHeight="1">
      <x:c r="A273" s="39" t="n">
        <x:v>227</x:v>
      </x:c>
      <x:c r="B273" s="39" t="n">
        <x:v>22700000000</x:v>
      </x:c>
      <x:c r="C273" s="39" t="n">
        <x:v>22700051518</x:v>
      </x:c>
      <x:c r="D273" s="39" t="n">
        <x:v>22700058481</x:v>
      </x:c>
      <x:c r="E273" s="39" t="n">
        <x:v>22700066388</x:v>
      </x:c>
      <x:c r="F273" s="39" t="n">
        <x:v>22700075924</x:v>
      </x:c>
      <x:c r="G273" s="39" t="n">
        <x:v>1</x:v>
      </x:c>
      <x:c r="H273" s="39" t="n">
        <x:v>1</x:v>
      </x:c>
      <x:c r="I273" s="39" t="n">
        <x:v>1</x:v>
      </x:c>
      <x:c r="J273" s="40" t="n">
        <x:f>B273/1000000000</x:f>
        <x:v>22.7</x:v>
      </x:c>
      <x:c r="K273" s="41" t="n">
        <x:f>IF(C273&lt;0,NA(),(F273-B273)/1000000)</x:f>
        <x:v>0.075924</x:v>
      </x:c>
      <x:c r="L273" s="39" t="n">
        <x:f>IF(C273&lt;0,1,IF(OR(G273=0,H273=0,I273=0,F273-B273&gt;100000000),1,0))</x:f>
        <x:v>0</x:v>
      </x:c>
      <x:c r="M273" s="39" t="n">
        <x:f>IF(C273&lt;0,1,0)</x:f>
        <x:v>0</x:v>
      </x:c>
      <x:c r="N273" s="1"/>
      <x:c r="O273" s="1"/>
      <x:c r="P273" s="1"/>
      <x:c r="Q273" s="1"/>
      <x:c r="R273" s="1"/>
    </x:row>
    <x:row r="274" ht="22" customHeight="1">
      <x:c r="A274" s="39" t="n">
        <x:v>228</x:v>
      </x:c>
      <x:c r="B274" s="39" t="n">
        <x:v>22800000000</x:v>
      </x:c>
      <x:c r="C274" s="39" t="n">
        <x:v>22800057728</x:v>
      </x:c>
      <x:c r="D274" s="39" t="n">
        <x:v>22800108930</x:v>
      </x:c>
      <x:c r="E274" s="39" t="n">
        <x:v>22800142373</x:v>
      </x:c>
      <x:c r="F274" s="39" t="n">
        <x:v>22800153613</x:v>
      </x:c>
      <x:c r="G274" s="39" t="n">
        <x:v>1</x:v>
      </x:c>
      <x:c r="H274" s="39" t="n">
        <x:v>1</x:v>
      </x:c>
      <x:c r="I274" s="39" t="n">
        <x:v>1</x:v>
      </x:c>
      <x:c r="J274" s="40" t="n">
        <x:f>B274/1000000000</x:f>
        <x:v>22.8</x:v>
      </x:c>
      <x:c r="K274" s="41" t="n">
        <x:f>IF(C274&lt;0,NA(),(F274-B274)/1000000)</x:f>
        <x:v>0.153613</x:v>
      </x:c>
      <x:c r="L274" s="39" t="n">
        <x:f>IF(C274&lt;0,1,IF(OR(G274=0,H274=0,I274=0,F274-B274&gt;100000000),1,0))</x:f>
        <x:v>0</x:v>
      </x:c>
      <x:c r="M274" s="39" t="n">
        <x:f>IF(C274&lt;0,1,0)</x:f>
        <x:v>0</x:v>
      </x:c>
      <x:c r="N274" s="1"/>
      <x:c r="O274" s="1"/>
      <x:c r="P274" s="1"/>
      <x:c r="Q274" s="1"/>
      <x:c r="R274" s="1"/>
    </x:row>
    <x:row r="275" ht="22" customHeight="1">
      <x:c r="A275" s="39" t="n">
        <x:v>229</x:v>
      </x:c>
      <x:c r="B275" s="39" t="n">
        <x:v>22900000000</x:v>
      </x:c>
      <x:c r="C275" s="39" t="n">
        <x:v>22900055568</x:v>
      </x:c>
      <x:c r="D275" s="39" t="n">
        <x:v>22900072030</x:v>
      </x:c>
      <x:c r="E275" s="39" t="n">
        <x:v>22900087807</x:v>
      </x:c>
      <x:c r="F275" s="39" t="n">
        <x:v>22900097844</x:v>
      </x:c>
      <x:c r="G275" s="39" t="n">
        <x:v>1</x:v>
      </x:c>
      <x:c r="H275" s="39" t="n">
        <x:v>1</x:v>
      </x:c>
      <x:c r="I275" s="39" t="n">
        <x:v>1</x:v>
      </x:c>
      <x:c r="J275" s="40" t="n">
        <x:f>B275/1000000000</x:f>
        <x:v>22.9</x:v>
      </x:c>
      <x:c r="K275" s="41" t="n">
        <x:f>IF(C275&lt;0,NA(),(F275-B275)/1000000)</x:f>
        <x:v>0.097844</x:v>
      </x:c>
      <x:c r="L275" s="39" t="n">
        <x:f>IF(C275&lt;0,1,IF(OR(G275=0,H275=0,I275=0,F275-B275&gt;100000000),1,0))</x:f>
        <x:v>0</x:v>
      </x:c>
      <x:c r="M275" s="39" t="n">
        <x:f>IF(C275&lt;0,1,0)</x:f>
        <x:v>0</x:v>
      </x:c>
      <x:c r="N275" s="1"/>
      <x:c r="O275" s="1"/>
      <x:c r="P275" s="1"/>
      <x:c r="Q275" s="1"/>
      <x:c r="R275" s="1"/>
    </x:row>
    <x:row r="276" ht="22" customHeight="1">
      <x:c r="A276" s="39" t="n">
        <x:v>230</x:v>
      </x:c>
      <x:c r="B276" s="39" t="n">
        <x:v>23000000000</x:v>
      </x:c>
      <x:c r="C276" s="39" t="n">
        <x:v>23000053792</x:v>
      </x:c>
      <x:c r="D276" s="39" t="n">
        <x:v>23000066569</x:v>
      </x:c>
      <x:c r="E276" s="39" t="n">
        <x:v>23000079309</x:v>
      </x:c>
      <x:c r="F276" s="39" t="n">
        <x:v>23000088883</x:v>
      </x:c>
      <x:c r="G276" s="39" t="n">
        <x:v>1</x:v>
      </x:c>
      <x:c r="H276" s="39" t="n">
        <x:v>1</x:v>
      </x:c>
      <x:c r="I276" s="39" t="n">
        <x:v>1</x:v>
      </x:c>
      <x:c r="J276" s="40" t="n">
        <x:f>B276/1000000000</x:f>
        <x:v>23</x:v>
      </x:c>
      <x:c r="K276" s="41" t="n">
        <x:f>IF(C276&lt;0,NA(),(F276-B276)/1000000)</x:f>
        <x:v>0.088883</x:v>
      </x:c>
      <x:c r="L276" s="39" t="n">
        <x:f>IF(C276&lt;0,1,IF(OR(G276=0,H276=0,I276=0,F276-B276&gt;100000000),1,0))</x:f>
        <x:v>0</x:v>
      </x:c>
      <x:c r="M276" s="39" t="n">
        <x:f>IF(C276&lt;0,1,0)</x:f>
        <x:v>0</x:v>
      </x:c>
      <x:c r="N276" s="1"/>
      <x:c r="O276" s="1"/>
      <x:c r="P276" s="1"/>
      <x:c r="Q276" s="1"/>
      <x:c r="R276" s="1"/>
    </x:row>
    <x:row r="277" ht="22" customHeight="1">
      <x:c r="A277" s="39" t="n">
        <x:v>231</x:v>
      </x:c>
      <x:c r="B277" s="39" t="n">
        <x:v>23100000000</x:v>
      </x:c>
      <x:c r="C277" s="39" t="n">
        <x:v>23100051812</x:v>
      </x:c>
      <x:c r="D277" s="39" t="n">
        <x:v>23100059219</x:v>
      </x:c>
      <x:c r="E277" s="39" t="n">
        <x:v>23100068089</x:v>
      </x:c>
      <x:c r="F277" s="39" t="n">
        <x:v>23100077441</x:v>
      </x:c>
      <x:c r="G277" s="39" t="n">
        <x:v>1</x:v>
      </x:c>
      <x:c r="H277" s="39" t="n">
        <x:v>1</x:v>
      </x:c>
      <x:c r="I277" s="39" t="n">
        <x:v>1</x:v>
      </x:c>
      <x:c r="J277" s="40" t="n">
        <x:f>B277/1000000000</x:f>
        <x:v>23.1</x:v>
      </x:c>
      <x:c r="K277" s="41" t="n">
        <x:f>IF(C277&lt;0,NA(),(F277-B277)/1000000)</x:f>
        <x:v>0.077441</x:v>
      </x:c>
      <x:c r="L277" s="39" t="n">
        <x:f>IF(C277&lt;0,1,IF(OR(G277=0,H277=0,I277=0,F277-B277&gt;100000000),1,0))</x:f>
        <x:v>0</x:v>
      </x:c>
      <x:c r="M277" s="39" t="n">
        <x:f>IF(C277&lt;0,1,0)</x:f>
        <x:v>0</x:v>
      </x:c>
      <x:c r="N277" s="1"/>
      <x:c r="O277" s="1"/>
      <x:c r="P277" s="1"/>
      <x:c r="Q277" s="1"/>
      <x:c r="R277" s="1"/>
    </x:row>
    <x:row r="278" ht="22" customHeight="1">
      <x:c r="A278" s="39" t="n">
        <x:v>232</x:v>
      </x:c>
      <x:c r="B278" s="39" t="n">
        <x:v>23200000000</x:v>
      </x:c>
      <x:c r="C278" s="39" t="n">
        <x:v>23200054629</x:v>
      </x:c>
      <x:c r="D278" s="39" t="n">
        <x:v>23200066073</x:v>
      </x:c>
      <x:c r="E278" s="39" t="n">
        <x:v>23200078128</x:v>
      </x:c>
      <x:c r="F278" s="39" t="n">
        <x:v>23200087794</x:v>
      </x:c>
      <x:c r="G278" s="39" t="n">
        <x:v>1</x:v>
      </x:c>
      <x:c r="H278" s="39" t="n">
        <x:v>1</x:v>
      </x:c>
      <x:c r="I278" s="39" t="n">
        <x:v>1</x:v>
      </x:c>
      <x:c r="J278" s="40" t="n">
        <x:f>B278/1000000000</x:f>
        <x:v>23.2</x:v>
      </x:c>
      <x:c r="K278" s="41" t="n">
        <x:f>IF(C278&lt;0,NA(),(F278-B278)/1000000)</x:f>
        <x:v>0.087794</x:v>
      </x:c>
      <x:c r="L278" s="39" t="n">
        <x:f>IF(C278&lt;0,1,IF(OR(G278=0,H278=0,I278=0,F278-B278&gt;100000000),1,0))</x:f>
        <x:v>0</x:v>
      </x:c>
      <x:c r="M278" s="39" t="n">
        <x:f>IF(C278&lt;0,1,0)</x:f>
        <x:v>0</x:v>
      </x:c>
      <x:c r="N278" s="1"/>
      <x:c r="O278" s="1"/>
      <x:c r="P278" s="1"/>
      <x:c r="Q278" s="1"/>
      <x:c r="R278" s="1"/>
    </x:row>
    <x:row r="279" ht="22" customHeight="1">
      <x:c r="A279" s="39" t="n">
        <x:v>233</x:v>
      </x:c>
      <x:c r="B279" s="39" t="n">
        <x:v>23300000000</x:v>
      </x:c>
      <x:c r="C279" s="39" t="n">
        <x:v>23300051890</x:v>
      </x:c>
      <x:c r="D279" s="39" t="n">
        <x:v>23300059334</x:v>
      </x:c>
      <x:c r="E279" s="39" t="n">
        <x:v>23300067389</x:v>
      </x:c>
      <x:c r="F279" s="39" t="n">
        <x:v>23300076741</x:v>
      </x:c>
      <x:c r="G279" s="39" t="n">
        <x:v>1</x:v>
      </x:c>
      <x:c r="H279" s="39" t="n">
        <x:v>1</x:v>
      </x:c>
      <x:c r="I279" s="39" t="n">
        <x:v>1</x:v>
      </x:c>
      <x:c r="J279" s="40" t="n">
        <x:f>B279/1000000000</x:f>
        <x:v>23.3</x:v>
      </x:c>
      <x:c r="K279" s="41" t="n">
        <x:f>IF(C279&lt;0,NA(),(F279-B279)/1000000)</x:f>
        <x:v>0.076741</x:v>
      </x:c>
      <x:c r="L279" s="39" t="n">
        <x:f>IF(C279&lt;0,1,IF(OR(G279=0,H279=0,I279=0,F279-B279&gt;100000000),1,0))</x:f>
        <x:v>0</x:v>
      </x:c>
      <x:c r="M279" s="39" t="n">
        <x:f>IF(C279&lt;0,1,0)</x:f>
        <x:v>0</x:v>
      </x:c>
      <x:c r="N279" s="1"/>
      <x:c r="O279" s="1"/>
      <x:c r="P279" s="1"/>
      <x:c r="Q279" s="1"/>
      <x:c r="R279" s="1"/>
    </x:row>
    <x:row r="280" ht="22" customHeight="1">
      <x:c r="A280" s="39" t="n">
        <x:v>234</x:v>
      </x:c>
      <x:c r="B280" s="39" t="n">
        <x:v>23400000000</x:v>
      </x:c>
      <x:c r="C280" s="39" t="n">
        <x:v>23400056151</x:v>
      </x:c>
      <x:c r="D280" s="39" t="n">
        <x:v>23400077983</x:v>
      </x:c>
      <x:c r="E280" s="39" t="n">
        <x:v>23400096353</x:v>
      </x:c>
      <x:c r="F280" s="39" t="n">
        <x:v>23400106482</x:v>
      </x:c>
      <x:c r="G280" s="39" t="n">
        <x:v>1</x:v>
      </x:c>
      <x:c r="H280" s="39" t="n">
        <x:v>1</x:v>
      </x:c>
      <x:c r="I280" s="39" t="n">
        <x:v>1</x:v>
      </x:c>
      <x:c r="J280" s="40" t="n">
        <x:f>B280/1000000000</x:f>
        <x:v>23.4</x:v>
      </x:c>
      <x:c r="K280" s="41" t="n">
        <x:f>IF(C280&lt;0,NA(),(F280-B280)/1000000)</x:f>
        <x:v>0.106482</x:v>
      </x:c>
      <x:c r="L280" s="39" t="n">
        <x:f>IF(C280&lt;0,1,IF(OR(G280=0,H280=0,I280=0,F280-B280&gt;100000000),1,0))</x:f>
        <x:v>0</x:v>
      </x:c>
      <x:c r="M280" s="39" t="n">
        <x:f>IF(C280&lt;0,1,0)</x:f>
        <x:v>0</x:v>
      </x:c>
      <x:c r="N280" s="1"/>
      <x:c r="O280" s="1"/>
      <x:c r="P280" s="1"/>
      <x:c r="Q280" s="1"/>
      <x:c r="R280" s="1"/>
    </x:row>
    <x:row r="281" ht="22" customHeight="1">
      <x:c r="A281" s="39" t="n">
        <x:v>235</x:v>
      </x:c>
      <x:c r="B281" s="39" t="n">
        <x:v>23500000000</x:v>
      </x:c>
      <x:c r="C281" s="39" t="n">
        <x:v>23500054579</x:v>
      </x:c>
      <x:c r="D281" s="39" t="n">
        <x:v>23500069689</x:v>
      </x:c>
      <x:c r="E281" s="39" t="n">
        <x:v>23500083244</x:v>
      </x:c>
      <x:c r="F281" s="39" t="n">
        <x:v>23500092947</x:v>
      </x:c>
      <x:c r="G281" s="39" t="n">
        <x:v>1</x:v>
      </x:c>
      <x:c r="H281" s="39" t="n">
        <x:v>1</x:v>
      </x:c>
      <x:c r="I281" s="39" t="n">
        <x:v>1</x:v>
      </x:c>
      <x:c r="J281" s="40" t="n">
        <x:f>B281/1000000000</x:f>
        <x:v>23.5</x:v>
      </x:c>
      <x:c r="K281" s="41" t="n">
        <x:f>IF(C281&lt;0,NA(),(F281-B281)/1000000)</x:f>
        <x:v>0.092947</x:v>
      </x:c>
      <x:c r="L281" s="39" t="n">
        <x:f>IF(C281&lt;0,1,IF(OR(G281=0,H281=0,I281=0,F281-B281&gt;100000000),1,0))</x:f>
        <x:v>0</x:v>
      </x:c>
      <x:c r="M281" s="39" t="n">
        <x:f>IF(C281&lt;0,1,0)</x:f>
        <x:v>0</x:v>
      </x:c>
      <x:c r="N281" s="1"/>
      <x:c r="O281" s="1"/>
      <x:c r="P281" s="1"/>
      <x:c r="Q281" s="1"/>
      <x:c r="R281" s="1"/>
    </x:row>
    <x:row r="282" ht="22" customHeight="1">
      <x:c r="A282" s="39" t="n">
        <x:v>236</x:v>
      </x:c>
      <x:c r="B282" s="39" t="n">
        <x:v>23600000000</x:v>
      </x:c>
      <x:c r="C282" s="39" t="n">
        <x:v>23600051710</x:v>
      </x:c>
      <x:c r="D282" s="39" t="n">
        <x:v>23600058617</x:v>
      </x:c>
      <x:c r="E282" s="39" t="n">
        <x:v>23600067265</x:v>
      </x:c>
      <x:c r="F282" s="39" t="n">
        <x:v>23600077191</x:v>
      </x:c>
      <x:c r="G282" s="39" t="n">
        <x:v>1</x:v>
      </x:c>
      <x:c r="H282" s="39" t="n">
        <x:v>1</x:v>
      </x:c>
      <x:c r="I282" s="39" t="n">
        <x:v>1</x:v>
      </x:c>
      <x:c r="J282" s="40" t="n">
        <x:f>B282/1000000000</x:f>
        <x:v>23.6</x:v>
      </x:c>
      <x:c r="K282" s="41" t="n">
        <x:f>IF(C282&lt;0,NA(),(F282-B282)/1000000)</x:f>
        <x:v>0.077191</x:v>
      </x:c>
      <x:c r="L282" s="39" t="n">
        <x:f>IF(C282&lt;0,1,IF(OR(G282=0,H282=0,I282=0,F282-B282&gt;100000000),1,0))</x:f>
        <x:v>0</x:v>
      </x:c>
      <x:c r="M282" s="39" t="n">
        <x:f>IF(C282&lt;0,1,0)</x:f>
        <x:v>0</x:v>
      </x:c>
      <x:c r="N282" s="1"/>
      <x:c r="O282" s="1"/>
      <x:c r="P282" s="1"/>
      <x:c r="Q282" s="1"/>
      <x:c r="R282" s="1"/>
    </x:row>
    <x:row r="283" ht="22" customHeight="1">
      <x:c r="A283" s="39" t="n">
        <x:v>237</x:v>
      </x:c>
      <x:c r="B283" s="39" t="n">
        <x:v>23700000000</x:v>
      </x:c>
      <x:c r="C283" s="39" t="n">
        <x:v>23700052582</x:v>
      </x:c>
      <x:c r="D283" s="39" t="n">
        <x:v>23700059582</x:v>
      </x:c>
      <x:c r="E283" s="39" t="n">
        <x:v>23700067211</x:v>
      </x:c>
      <x:c r="F283" s="39" t="n">
        <x:v>23700076489</x:v>
      </x:c>
      <x:c r="G283" s="39" t="n">
        <x:v>1</x:v>
      </x:c>
      <x:c r="H283" s="39" t="n">
        <x:v>1</x:v>
      </x:c>
      <x:c r="I283" s="39" t="n">
        <x:v>1</x:v>
      </x:c>
      <x:c r="J283" s="40" t="n">
        <x:f>B283/1000000000</x:f>
        <x:v>23.7</x:v>
      </x:c>
      <x:c r="K283" s="41" t="n">
        <x:f>IF(C283&lt;0,NA(),(F283-B283)/1000000)</x:f>
        <x:v>0.076489</x:v>
      </x:c>
      <x:c r="L283" s="39" t="n">
        <x:f>IF(C283&lt;0,1,IF(OR(G283=0,H283=0,I283=0,F283-B283&gt;100000000),1,0))</x:f>
        <x:v>0</x:v>
      </x:c>
      <x:c r="M283" s="39" t="n">
        <x:f>IF(C283&lt;0,1,0)</x:f>
        <x:v>0</x:v>
      </x:c>
      <x:c r="N283" s="1"/>
      <x:c r="O283" s="1"/>
      <x:c r="P283" s="1"/>
      <x:c r="Q283" s="1"/>
      <x:c r="R283" s="1"/>
    </x:row>
    <x:row r="284" ht="22" customHeight="1">
      <x:c r="A284" s="39" t="n">
        <x:v>238</x:v>
      </x:c>
      <x:c r="B284" s="39" t="n">
        <x:v>23800000000</x:v>
      </x:c>
      <x:c r="C284" s="39" t="n">
        <x:v>23800054010</x:v>
      </x:c>
      <x:c r="D284" s="39" t="n">
        <x:v>23800064787</x:v>
      </x:c>
      <x:c r="E284" s="39" t="n">
        <x:v>23800076916</x:v>
      </x:c>
      <x:c r="F284" s="39" t="n">
        <x:v>23800086305</x:v>
      </x:c>
      <x:c r="G284" s="39" t="n">
        <x:v>1</x:v>
      </x:c>
      <x:c r="H284" s="39" t="n">
        <x:v>1</x:v>
      </x:c>
      <x:c r="I284" s="39" t="n">
        <x:v>1</x:v>
      </x:c>
      <x:c r="J284" s="40" t="n">
        <x:f>B284/1000000000</x:f>
        <x:v>23.8</x:v>
      </x:c>
      <x:c r="K284" s="41" t="n">
        <x:f>IF(C284&lt;0,NA(),(F284-B284)/1000000)</x:f>
        <x:v>0.086305</x:v>
      </x:c>
      <x:c r="L284" s="39" t="n">
        <x:f>IF(C284&lt;0,1,IF(OR(G284=0,H284=0,I284=0,F284-B284&gt;100000000),1,0))</x:f>
        <x:v>0</x:v>
      </x:c>
      <x:c r="M284" s="39" t="n">
        <x:f>IF(C284&lt;0,1,0)</x:f>
        <x:v>0</x:v>
      </x:c>
      <x:c r="N284" s="1"/>
      <x:c r="O284" s="1"/>
      <x:c r="P284" s="1"/>
      <x:c r="Q284" s="1"/>
      <x:c r="R284" s="1"/>
    </x:row>
    <x:row r="285" ht="22" customHeight="1">
      <x:c r="A285" s="39" t="n">
        <x:v>239</x:v>
      </x:c>
      <x:c r="B285" s="39" t="n">
        <x:v>23900000000</x:v>
      </x:c>
      <x:c r="C285" s="39" t="n">
        <x:v>23900052465</x:v>
      </x:c>
      <x:c r="D285" s="39" t="n">
        <x:v>23900065409</x:v>
      </x:c>
      <x:c r="E285" s="39" t="n">
        <x:v>23900078575</x:v>
      </x:c>
      <x:c r="F285" s="39" t="n">
        <x:v>23900088445</x:v>
      </x:c>
      <x:c r="G285" s="39" t="n">
        <x:v>1</x:v>
      </x:c>
      <x:c r="H285" s="39" t="n">
        <x:v>1</x:v>
      </x:c>
      <x:c r="I285" s="39" t="n">
        <x:v>1</x:v>
      </x:c>
      <x:c r="J285" s="40" t="n">
        <x:f>B285/1000000000</x:f>
        <x:v>23.9</x:v>
      </x:c>
      <x:c r="K285" s="41" t="n">
        <x:f>IF(C285&lt;0,NA(),(F285-B285)/1000000)</x:f>
        <x:v>0.088445</x:v>
      </x:c>
      <x:c r="L285" s="39" t="n">
        <x:f>IF(C285&lt;0,1,IF(OR(G285=0,H285=0,I285=0,F285-B285&gt;100000000),1,0))</x:f>
        <x:v>0</x:v>
      </x:c>
      <x:c r="M285" s="39" t="n">
        <x:f>IF(C285&lt;0,1,0)</x:f>
        <x:v>0</x:v>
      </x:c>
      <x:c r="N285" s="1"/>
      <x:c r="O285" s="1"/>
      <x:c r="P285" s="1"/>
      <x:c r="Q285" s="1"/>
      <x:c r="R285" s="1"/>
    </x:row>
    <x:row r="286" ht="22" customHeight="1">
      <x:c r="A286" s="39" t="n">
        <x:v>240</x:v>
      </x:c>
      <x:c r="B286" s="39" t="n">
        <x:v>24000000000</x:v>
      </x:c>
      <x:c r="C286" s="39" t="n">
        <x:v>24000056709</x:v>
      </x:c>
      <x:c r="D286" s="39" t="n">
        <x:v>24000078319</x:v>
      </x:c>
      <x:c r="E286" s="39" t="n">
        <x:v>24000097745</x:v>
      </x:c>
      <x:c r="F286" s="39" t="n">
        <x:v>24000107448</x:v>
      </x:c>
      <x:c r="G286" s="39" t="n">
        <x:v>1</x:v>
      </x:c>
      <x:c r="H286" s="39" t="n">
        <x:v>1</x:v>
      </x:c>
      <x:c r="I286" s="39" t="n">
        <x:v>1</x:v>
      </x:c>
      <x:c r="J286" s="40" t="n">
        <x:f>B286/1000000000</x:f>
        <x:v>24</x:v>
      </x:c>
      <x:c r="K286" s="41" t="n">
        <x:f>IF(C286&lt;0,NA(),(F286-B286)/1000000)</x:f>
        <x:v>0.107448</x:v>
      </x:c>
      <x:c r="L286" s="39" t="n">
        <x:f>IF(C286&lt;0,1,IF(OR(G286=0,H286=0,I286=0,F286-B286&gt;100000000),1,0))</x:f>
        <x:v>0</x:v>
      </x:c>
      <x:c r="M286" s="39" t="n">
        <x:f>IF(C286&lt;0,1,0)</x:f>
        <x:v>0</x:v>
      </x:c>
      <x:c r="N286" s="1"/>
      <x:c r="O286" s="1"/>
      <x:c r="P286" s="1"/>
      <x:c r="Q286" s="1"/>
      <x:c r="R286" s="1"/>
    </x:row>
    <x:row r="287" ht="22" customHeight="1">
      <x:c r="A287" s="39" t="n">
        <x:v>241</x:v>
      </x:c>
      <x:c r="B287" s="39" t="n">
        <x:v>24100000000</x:v>
      </x:c>
      <x:c r="C287" s="39" t="n">
        <x:v>24100051972</x:v>
      </x:c>
      <x:c r="D287" s="39" t="n">
        <x:v>24100061120</x:v>
      </x:c>
      <x:c r="E287" s="39" t="n">
        <x:v>24100071009</x:v>
      </x:c>
      <x:c r="F287" s="39" t="n">
        <x:v>24100080527</x:v>
      </x:c>
      <x:c r="G287" s="39" t="n">
        <x:v>1</x:v>
      </x:c>
      <x:c r="H287" s="39" t="n">
        <x:v>1</x:v>
      </x:c>
      <x:c r="I287" s="39" t="n">
        <x:v>1</x:v>
      </x:c>
      <x:c r="J287" s="40" t="n">
        <x:f>B287/1000000000</x:f>
        <x:v>24.1</x:v>
      </x:c>
      <x:c r="K287" s="41" t="n">
        <x:f>IF(C287&lt;0,NA(),(F287-B287)/1000000)</x:f>
        <x:v>0.080527</x:v>
      </x:c>
      <x:c r="L287" s="39" t="n">
        <x:f>IF(C287&lt;0,1,IF(OR(G287=0,H287=0,I287=0,F287-B287&gt;100000000),1,0))</x:f>
        <x:v>0</x:v>
      </x:c>
      <x:c r="M287" s="39" t="n">
        <x:f>IF(C287&lt;0,1,0)</x:f>
        <x:v>0</x:v>
      </x:c>
      <x:c r="N287" s="1"/>
      <x:c r="O287" s="1"/>
      <x:c r="P287" s="1"/>
      <x:c r="Q287" s="1"/>
      <x:c r="R287" s="1"/>
    </x:row>
    <x:row r="288" ht="22" customHeight="1">
      <x:c r="A288" s="39" t="n">
        <x:v>242</x:v>
      </x:c>
      <x:c r="B288" s="39" t="n">
        <x:v>24200000000</x:v>
      </x:c>
      <x:c r="C288" s="39" t="n">
        <x:v>24200056809</x:v>
      </x:c>
      <x:c r="D288" s="39" t="n">
        <x:v>24200070605</x:v>
      </x:c>
      <x:c r="E288" s="39" t="n">
        <x:v>24200084919</x:v>
      </x:c>
      <x:c r="F288" s="39" t="n">
        <x:v>24200094808</x:v>
      </x:c>
      <x:c r="G288" s="39" t="n">
        <x:v>1</x:v>
      </x:c>
      <x:c r="H288" s="39" t="n">
        <x:v>1</x:v>
      </x:c>
      <x:c r="I288" s="39" t="n">
        <x:v>1</x:v>
      </x:c>
      <x:c r="J288" s="40" t="n">
        <x:f>B288/1000000000</x:f>
        <x:v>24.2</x:v>
      </x:c>
      <x:c r="K288" s="41" t="n">
        <x:f>IF(C288&lt;0,NA(),(F288-B288)/1000000)</x:f>
        <x:v>0.094808</x:v>
      </x:c>
      <x:c r="L288" s="39" t="n">
        <x:f>IF(C288&lt;0,1,IF(OR(G288=0,H288=0,I288=0,F288-B288&gt;100000000),1,0))</x:f>
        <x:v>0</x:v>
      </x:c>
      <x:c r="M288" s="39" t="n">
        <x:f>IF(C288&lt;0,1,0)</x:f>
        <x:v>0</x:v>
      </x:c>
      <x:c r="N288" s="1"/>
      <x:c r="O288" s="1"/>
      <x:c r="P288" s="1"/>
      <x:c r="Q288" s="1"/>
      <x:c r="R288" s="1"/>
    </x:row>
    <x:row r="289" ht="22" customHeight="1">
      <x:c r="A289" s="39" t="n">
        <x:v>243</x:v>
      </x:c>
      <x:c r="B289" s="39" t="n">
        <x:v>24300000000</x:v>
      </x:c>
      <x:c r="C289" s="39" t="n">
        <x:v>24300053165</x:v>
      </x:c>
      <x:c r="D289" s="39" t="n">
        <x:v>24300065405</x:v>
      </x:c>
      <x:c r="E289" s="39" t="n">
        <x:v>24300078424</x:v>
      </x:c>
      <x:c r="F289" s="39" t="n">
        <x:v>24300088090</x:v>
      </x:c>
      <x:c r="G289" s="39" t="n">
        <x:v>1</x:v>
      </x:c>
      <x:c r="H289" s="39" t="n">
        <x:v>1</x:v>
      </x:c>
      <x:c r="I289" s="39" t="n">
        <x:v>1</x:v>
      </x:c>
      <x:c r="J289" s="40" t="n">
        <x:f>B289/1000000000</x:f>
        <x:v>24.3</x:v>
      </x:c>
      <x:c r="K289" s="41" t="n">
        <x:f>IF(C289&lt;0,NA(),(F289-B289)/1000000)</x:f>
        <x:v>0.08809</x:v>
      </x:c>
      <x:c r="L289" s="39" t="n">
        <x:f>IF(C289&lt;0,1,IF(OR(G289=0,H289=0,I289=0,F289-B289&gt;100000000),1,0))</x:f>
        <x:v>0</x:v>
      </x:c>
      <x:c r="M289" s="39" t="n">
        <x:f>IF(C289&lt;0,1,0)</x:f>
        <x:v>0</x:v>
      </x:c>
      <x:c r="N289" s="1"/>
      <x:c r="O289" s="1"/>
      <x:c r="P289" s="1"/>
      <x:c r="Q289" s="1"/>
      <x:c r="R289" s="1"/>
    </x:row>
    <x:row r="290" ht="22" customHeight="1">
      <x:c r="A290" s="39" t="n">
        <x:v>244</x:v>
      </x:c>
      <x:c r="B290" s="39" t="n">
        <x:v>24400000000</x:v>
      </x:c>
      <x:c r="C290" s="39" t="n">
        <x:v>24400050651</x:v>
      </x:c>
      <x:c r="D290" s="39" t="n">
        <x:v>24400056687</x:v>
      </x:c>
      <x:c r="E290" s="39" t="n">
        <x:v>24400064335</x:v>
      </x:c>
      <x:c r="F290" s="39" t="n">
        <x:v>24400073650</x:v>
      </x:c>
      <x:c r="G290" s="39" t="n">
        <x:v>1</x:v>
      </x:c>
      <x:c r="H290" s="39" t="n">
        <x:v>1</x:v>
      </x:c>
      <x:c r="I290" s="39" t="n">
        <x:v>1</x:v>
      </x:c>
      <x:c r="J290" s="40" t="n">
        <x:f>B290/1000000000</x:f>
        <x:v>24.4</x:v>
      </x:c>
      <x:c r="K290" s="41" t="n">
        <x:f>IF(C290&lt;0,NA(),(F290-B290)/1000000)</x:f>
        <x:v>0.07365</x:v>
      </x:c>
      <x:c r="L290" s="39" t="n">
        <x:f>IF(C290&lt;0,1,IF(OR(G290=0,H290=0,I290=0,F290-B290&gt;100000000),1,0))</x:f>
        <x:v>0</x:v>
      </x:c>
      <x:c r="M290" s="39" t="n">
        <x:f>IF(C290&lt;0,1,0)</x:f>
        <x:v>0</x:v>
      </x:c>
      <x:c r="N290" s="1"/>
      <x:c r="O290" s="1"/>
      <x:c r="P290" s="1"/>
      <x:c r="Q290" s="1"/>
      <x:c r="R290" s="1"/>
    </x:row>
    <x:row r="291" ht="22" customHeight="1">
      <x:c r="A291" s="39" t="n">
        <x:v>245</x:v>
      </x:c>
      <x:c r="B291" s="39" t="n">
        <x:v>24500000000</x:v>
      </x:c>
      <x:c r="C291" s="39" t="n">
        <x:v>24500059080</x:v>
      </x:c>
      <x:c r="D291" s="39" t="n">
        <x:v>24500088968</x:v>
      </x:c>
      <x:c r="E291" s="39" t="n">
        <x:v>24500116374</x:v>
      </x:c>
      <x:c r="F291" s="39" t="n">
        <x:v>24500126874</x:v>
      </x:c>
      <x:c r="G291" s="39" t="n">
        <x:v>1</x:v>
      </x:c>
      <x:c r="H291" s="39" t="n">
        <x:v>1</x:v>
      </x:c>
      <x:c r="I291" s="39" t="n">
        <x:v>1</x:v>
      </x:c>
      <x:c r="J291" s="40" t="n">
        <x:f>B291/1000000000</x:f>
        <x:v>24.5</x:v>
      </x:c>
      <x:c r="K291" s="41" t="n">
        <x:f>IF(C291&lt;0,NA(),(F291-B291)/1000000)</x:f>
        <x:v>0.126874</x:v>
      </x:c>
      <x:c r="L291" s="39" t="n">
        <x:f>IF(C291&lt;0,1,IF(OR(G291=0,H291=0,I291=0,F291-B291&gt;100000000),1,0))</x:f>
        <x:v>0</x:v>
      </x:c>
      <x:c r="M291" s="39" t="n">
        <x:f>IF(C291&lt;0,1,0)</x:f>
        <x:v>0</x:v>
      </x:c>
      <x:c r="N291" s="1"/>
      <x:c r="O291" s="1"/>
      <x:c r="P291" s="1"/>
      <x:c r="Q291" s="1"/>
      <x:c r="R291" s="1"/>
    </x:row>
    <x:row r="292" ht="22" customHeight="1">
      <x:c r="A292" s="39" t="n">
        <x:v>246</x:v>
      </x:c>
      <x:c r="B292" s="39" t="n">
        <x:v>24600000000</x:v>
      </x:c>
      <x:c r="C292" s="39" t="n">
        <x:v>24600057843</x:v>
      </x:c>
      <x:c r="D292" s="39" t="n">
        <x:v>24600090527</x:v>
      </x:c>
      <x:c r="E292" s="39" t="n">
        <x:v>24600115304</x:v>
      </x:c>
      <x:c r="F292" s="39" t="n">
        <x:v>24600125341</x:v>
      </x:c>
      <x:c r="G292" s="39" t="n">
        <x:v>1</x:v>
      </x:c>
      <x:c r="H292" s="39" t="n">
        <x:v>1</x:v>
      </x:c>
      <x:c r="I292" s="39" t="n">
        <x:v>1</x:v>
      </x:c>
      <x:c r="J292" s="40" t="n">
        <x:f>B292/1000000000</x:f>
        <x:v>24.6</x:v>
      </x:c>
      <x:c r="K292" s="41" t="n">
        <x:f>IF(C292&lt;0,NA(),(F292-B292)/1000000)</x:f>
        <x:v>0.125341</x:v>
      </x:c>
      <x:c r="L292" s="39" t="n">
        <x:f>IF(C292&lt;0,1,IF(OR(G292=0,H292=0,I292=0,F292-B292&gt;100000000),1,0))</x:f>
        <x:v>0</x:v>
      </x:c>
      <x:c r="M292" s="39" t="n">
        <x:f>IF(C292&lt;0,1,0)</x:f>
        <x:v>0</x:v>
      </x:c>
      <x:c r="N292" s="1"/>
      <x:c r="O292" s="1"/>
      <x:c r="P292" s="1"/>
      <x:c r="Q292" s="1"/>
      <x:c r="R292" s="1"/>
    </x:row>
    <x:row r="293" ht="22" customHeight="1">
      <x:c r="A293" s="39" t="n">
        <x:v>247</x:v>
      </x:c>
      <x:c r="B293" s="39" t="n">
        <x:v>24700000000</x:v>
      </x:c>
      <x:c r="C293" s="39" t="n">
        <x:v>24700056236</x:v>
      </x:c>
      <x:c r="D293" s="39" t="n">
        <x:v>24700071032</x:v>
      </x:c>
      <x:c r="E293" s="39" t="n">
        <x:v>24700084179</x:v>
      </x:c>
      <x:c r="F293" s="39" t="n">
        <x:v>24700093827</x:v>
      </x:c>
      <x:c r="G293" s="39" t="n">
        <x:v>1</x:v>
      </x:c>
      <x:c r="H293" s="39" t="n">
        <x:v>1</x:v>
      </x:c>
      <x:c r="I293" s="39" t="n">
        <x:v>1</x:v>
      </x:c>
      <x:c r="J293" s="40" t="n">
        <x:f>B293/1000000000</x:f>
        <x:v>24.7</x:v>
      </x:c>
      <x:c r="K293" s="41" t="n">
        <x:f>IF(C293&lt;0,NA(),(F293-B293)/1000000)</x:f>
        <x:v>0.093827</x:v>
      </x:c>
      <x:c r="L293" s="39" t="n">
        <x:f>IF(C293&lt;0,1,IF(OR(G293=0,H293=0,I293=0,F293-B293&gt;100000000),1,0))</x:f>
        <x:v>0</x:v>
      </x:c>
      <x:c r="M293" s="39" t="n">
        <x:f>IF(C293&lt;0,1,0)</x:f>
        <x:v>0</x:v>
      </x:c>
      <x:c r="N293" s="1"/>
      <x:c r="O293" s="1"/>
      <x:c r="P293" s="1"/>
      <x:c r="Q293" s="1"/>
      <x:c r="R293" s="1"/>
    </x:row>
    <x:row r="294" ht="22" customHeight="1">
      <x:c r="A294" s="39" t="n">
        <x:v>248</x:v>
      </x:c>
      <x:c r="B294" s="39" t="n">
        <x:v>24800000000</x:v>
      </x:c>
      <x:c r="C294" s="39" t="n">
        <x:v>24800051870</x:v>
      </x:c>
      <x:c r="D294" s="39" t="n">
        <x:v>24800059777</x:v>
      </x:c>
      <x:c r="E294" s="39" t="n">
        <x:v>24800068332</x:v>
      </x:c>
      <x:c r="F294" s="39" t="n">
        <x:v>24800077739</x:v>
      </x:c>
      <x:c r="G294" s="39" t="n">
        <x:v>1</x:v>
      </x:c>
      <x:c r="H294" s="39" t="n">
        <x:v>1</x:v>
      </x:c>
      <x:c r="I294" s="39" t="n">
        <x:v>1</x:v>
      </x:c>
      <x:c r="J294" s="40" t="n">
        <x:f>B294/1000000000</x:f>
        <x:v>24.8</x:v>
      </x:c>
      <x:c r="K294" s="41" t="n">
        <x:f>IF(C294&lt;0,NA(),(F294-B294)/1000000)</x:f>
        <x:v>0.077739</x:v>
      </x:c>
      <x:c r="L294" s="39" t="n">
        <x:f>IF(C294&lt;0,1,IF(OR(G294=0,H294=0,I294=0,F294-B294&gt;100000000),1,0))</x:f>
        <x:v>0</x:v>
      </x:c>
      <x:c r="M294" s="39" t="n">
        <x:f>IF(C294&lt;0,1,0)</x:f>
        <x:v>0</x:v>
      </x:c>
      <x:c r="N294" s="1"/>
      <x:c r="O294" s="1"/>
      <x:c r="P294" s="1"/>
      <x:c r="Q294" s="1"/>
      <x:c r="R294" s="1"/>
    </x:row>
    <x:row r="295" ht="22" customHeight="1">
      <x:c r="A295" s="39" t="n">
        <x:v>249</x:v>
      </x:c>
      <x:c r="B295" s="39" t="n">
        <x:v>24900000000</x:v>
      </x:c>
      <x:c r="C295" s="39" t="n">
        <x:v>24900056355</x:v>
      </x:c>
      <x:c r="D295" s="39" t="n">
        <x:v>24900070077</x:v>
      </x:c>
      <x:c r="E295" s="39" t="n">
        <x:v>24900082984</x:v>
      </x:c>
      <x:c r="F295" s="39" t="n">
        <x:v>24900093150</x:v>
      </x:c>
      <x:c r="G295" s="39" t="n">
        <x:v>1</x:v>
      </x:c>
      <x:c r="H295" s="39" t="n">
        <x:v>1</x:v>
      </x:c>
      <x:c r="I295" s="39" t="n">
        <x:v>1</x:v>
      </x:c>
      <x:c r="J295" s="40" t="n">
        <x:f>B295/1000000000</x:f>
        <x:v>24.9</x:v>
      </x:c>
      <x:c r="K295" s="41" t="n">
        <x:f>IF(C295&lt;0,NA(),(F295-B295)/1000000)</x:f>
        <x:v>0.09315</x:v>
      </x:c>
      <x:c r="L295" s="39" t="n">
        <x:f>IF(C295&lt;0,1,IF(OR(G295=0,H295=0,I295=0,F295-B295&gt;100000000),1,0))</x:f>
        <x:v>0</x:v>
      </x:c>
      <x:c r="M295" s="39" t="n">
        <x:f>IF(C295&lt;0,1,0)</x:f>
        <x:v>0</x:v>
      </x:c>
      <x:c r="N295" s="1"/>
      <x:c r="O295" s="1"/>
      <x:c r="P295" s="1"/>
      <x:c r="Q295" s="1"/>
      <x:c r="R295" s="1"/>
    </x:row>
    <x:row r="296" ht="22" customHeight="1">
      <x:c r="A296" s="39" t="n">
        <x:v>250</x:v>
      </x:c>
      <x:c r="B296" s="39" t="n">
        <x:v>25000000000</x:v>
      </x:c>
      <x:c r="C296" s="39" t="n">
        <x:v>25000054239</x:v>
      </x:c>
      <x:c r="D296" s="39" t="n">
        <x:v>25000066387</x:v>
      </x:c>
      <x:c r="E296" s="39" t="n">
        <x:v>25000078368</x:v>
      </x:c>
      <x:c r="F296" s="39" t="n">
        <x:v>25000087868</x:v>
      </x:c>
      <x:c r="G296" s="39" t="n">
        <x:v>1</x:v>
      </x:c>
      <x:c r="H296" s="39" t="n">
        <x:v>1</x:v>
      </x:c>
      <x:c r="I296" s="39" t="n">
        <x:v>1</x:v>
      </x:c>
      <x:c r="J296" s="40" t="n">
        <x:f>B296/1000000000</x:f>
        <x:v>25</x:v>
      </x:c>
      <x:c r="K296" s="41" t="n">
        <x:f>IF(C296&lt;0,NA(),(F296-B296)/1000000)</x:f>
        <x:v>0.087868</x:v>
      </x:c>
      <x:c r="L296" s="39" t="n">
        <x:f>IF(C296&lt;0,1,IF(OR(G296=0,H296=0,I296=0,F296-B296&gt;100000000),1,0))</x:f>
        <x:v>0</x:v>
      </x:c>
      <x:c r="M296" s="39" t="n">
        <x:f>IF(C296&lt;0,1,0)</x:f>
        <x:v>0</x:v>
      </x:c>
      <x:c r="N296" s="1"/>
      <x:c r="O296" s="1"/>
      <x:c r="P296" s="1"/>
      <x:c r="Q296" s="1"/>
      <x:c r="R296" s="1"/>
    </x:row>
    <x:row r="297" ht="22" customHeight="1">
      <x:c r="A297" s="39" t="n">
        <x:v>251</x:v>
      </x:c>
      <x:c r="B297" s="39" t="n">
        <x:v>25100000000</x:v>
      </x:c>
      <x:c r="C297" s="39" t="n">
        <x:v>25100052235</x:v>
      </x:c>
      <x:c r="D297" s="39" t="n">
        <x:v>25100059846</x:v>
      </x:c>
      <x:c r="E297" s="39" t="n">
        <x:v>25100069142</x:v>
      </x:c>
      <x:c r="F297" s="39" t="n">
        <x:v>25100078623</x:v>
      </x:c>
      <x:c r="G297" s="39" t="n">
        <x:v>1</x:v>
      </x:c>
      <x:c r="H297" s="39" t="n">
        <x:v>1</x:v>
      </x:c>
      <x:c r="I297" s="39" t="n">
        <x:v>1</x:v>
      </x:c>
      <x:c r="J297" s="40" t="n">
        <x:f>B297/1000000000</x:f>
        <x:v>25.1</x:v>
      </x:c>
      <x:c r="K297" s="41" t="n">
        <x:f>IF(C297&lt;0,NA(),(F297-B297)/1000000)</x:f>
        <x:v>0.078623</x:v>
      </x:c>
      <x:c r="L297" s="39" t="n">
        <x:f>IF(C297&lt;0,1,IF(OR(G297=0,H297=0,I297=0,F297-B297&gt;100000000),1,0))</x:f>
        <x:v>0</x:v>
      </x:c>
      <x:c r="M297" s="39" t="n">
        <x:f>IF(C297&lt;0,1,0)</x:f>
        <x:v>0</x:v>
      </x:c>
      <x:c r="N297" s="1"/>
      <x:c r="O297" s="1"/>
      <x:c r="P297" s="1"/>
      <x:c r="Q297" s="1"/>
      <x:c r="R297" s="1"/>
    </x:row>
    <x:row r="298" ht="22" customHeight="1">
      <x:c r="A298" s="39" t="n">
        <x:v>252</x:v>
      </x:c>
      <x:c r="B298" s="39" t="n">
        <x:v>25200000000</x:v>
      </x:c>
      <x:c r="C298" s="39" t="n">
        <x:v>25200058045</x:v>
      </x:c>
      <x:c r="D298" s="39" t="n">
        <x:v>25200082896</x:v>
      </x:c>
      <x:c r="E298" s="39" t="n">
        <x:v>25200106617</x:v>
      </x:c>
      <x:c r="F298" s="39" t="n">
        <x:v>25200116598</x:v>
      </x:c>
      <x:c r="G298" s="39" t="n">
        <x:v>1</x:v>
      </x:c>
      <x:c r="H298" s="39" t="n">
        <x:v>1</x:v>
      </x:c>
      <x:c r="I298" s="39" t="n">
        <x:v>1</x:v>
      </x:c>
      <x:c r="J298" s="40" t="n">
        <x:f>B298/1000000000</x:f>
        <x:v>25.2</x:v>
      </x:c>
      <x:c r="K298" s="41" t="n">
        <x:f>IF(C298&lt;0,NA(),(F298-B298)/1000000)</x:f>
        <x:v>0.116598</x:v>
      </x:c>
      <x:c r="L298" s="39" t="n">
        <x:f>IF(C298&lt;0,1,IF(OR(G298=0,H298=0,I298=0,F298-B298&gt;100000000),1,0))</x:f>
        <x:v>0</x:v>
      </x:c>
      <x:c r="M298" s="39" t="n">
        <x:f>IF(C298&lt;0,1,0)</x:f>
        <x:v>0</x:v>
      </x:c>
      <x:c r="N298" s="1"/>
      <x:c r="O298" s="1"/>
      <x:c r="P298" s="1"/>
      <x:c r="Q298" s="1"/>
      <x:c r="R298" s="1"/>
    </x:row>
    <x:row r="299" ht="22" customHeight="1">
      <x:c r="A299" s="39" t="n">
        <x:v>253</x:v>
      </x:c>
      <x:c r="B299" s="39" t="n">
        <x:v>25300000000</x:v>
      </x:c>
      <x:c r="C299" s="39" t="n">
        <x:v>25300054633</x:v>
      </x:c>
      <x:c r="D299" s="39" t="n">
        <x:v>25300076280</x:v>
      </x:c>
      <x:c r="E299" s="39" t="n">
        <x:v>25300095576</x:v>
      </x:c>
      <x:c r="F299" s="39" t="n">
        <x:v>25300105464</x:v>
      </x:c>
      <x:c r="G299" s="39" t="n">
        <x:v>1</x:v>
      </x:c>
      <x:c r="H299" s="39" t="n">
        <x:v>1</x:v>
      </x:c>
      <x:c r="I299" s="39" t="n">
        <x:v>1</x:v>
      </x:c>
      <x:c r="J299" s="40" t="n">
        <x:f>B299/1000000000</x:f>
        <x:v>25.3</x:v>
      </x:c>
      <x:c r="K299" s="41" t="n">
        <x:f>IF(C299&lt;0,NA(),(F299-B299)/1000000)</x:f>
        <x:v>0.105464</x:v>
      </x:c>
      <x:c r="L299" s="39" t="n">
        <x:f>IF(C299&lt;0,1,IF(OR(G299=0,H299=0,I299=0,F299-B299&gt;100000000),1,0))</x:f>
        <x:v>0</x:v>
      </x:c>
      <x:c r="M299" s="39" t="n">
        <x:f>IF(C299&lt;0,1,0)</x:f>
        <x:v>0</x:v>
      </x:c>
      <x:c r="N299" s="1"/>
      <x:c r="O299" s="1"/>
      <x:c r="P299" s="1"/>
      <x:c r="Q299" s="1"/>
      <x:c r="R299" s="1"/>
    </x:row>
    <x:row r="300" ht="22" customHeight="1">
      <x:c r="A300" s="39" t="n">
        <x:v>254</x:v>
      </x:c>
      <x:c r="B300" s="39" t="n">
        <x:v>25400000000</x:v>
      </x:c>
      <x:c r="C300" s="39" t="n">
        <x:v>25400053832</x:v>
      </x:c>
      <x:c r="D300" s="39" t="n">
        <x:v>25400065572</x:v>
      </x:c>
      <x:c r="E300" s="39" t="n">
        <x:v>25400078257</x:v>
      </x:c>
      <x:c r="F300" s="39" t="n">
        <x:v>25400087960</x:v>
      </x:c>
      <x:c r="G300" s="39" t="n">
        <x:v>1</x:v>
      </x:c>
      <x:c r="H300" s="39" t="n">
        <x:v>1</x:v>
      </x:c>
      <x:c r="I300" s="39" t="n">
        <x:v>1</x:v>
      </x:c>
      <x:c r="J300" s="40" t="n">
        <x:f>B300/1000000000</x:f>
        <x:v>25.4</x:v>
      </x:c>
      <x:c r="K300" s="41" t="n">
        <x:f>IF(C300&lt;0,NA(),(F300-B300)/1000000)</x:f>
        <x:v>0.08796</x:v>
      </x:c>
      <x:c r="L300" s="39" t="n">
        <x:f>IF(C300&lt;0,1,IF(OR(G300=0,H300=0,I300=0,F300-B300&gt;100000000),1,0))</x:f>
        <x:v>0</x:v>
      </x:c>
      <x:c r="M300" s="39" t="n">
        <x:f>IF(C300&lt;0,1,0)</x:f>
        <x:v>0</x:v>
      </x:c>
      <x:c r="N300" s="1"/>
      <x:c r="O300" s="1"/>
      <x:c r="P300" s="1"/>
      <x:c r="Q300" s="1"/>
      <x:c r="R300" s="1"/>
    </x:row>
    <x:row r="301" ht="22" customHeight="1">
      <x:c r="A301" s="39" t="n">
        <x:v>255</x:v>
      </x:c>
      <x:c r="B301" s="39" t="n">
        <x:v>25500000000</x:v>
      </x:c>
      <x:c r="C301" s="39" t="n">
        <x:v>25500054346</x:v>
      </x:c>
      <x:c r="D301" s="39" t="n">
        <x:v>25500068697</x:v>
      </x:c>
      <x:c r="E301" s="39" t="n">
        <x:v>25500083752</x:v>
      </x:c>
      <x:c r="F301" s="39" t="n">
        <x:v>25500093308</x:v>
      </x:c>
      <x:c r="G301" s="39" t="n">
        <x:v>1</x:v>
      </x:c>
      <x:c r="H301" s="39" t="n">
        <x:v>1</x:v>
      </x:c>
      <x:c r="I301" s="39" t="n">
        <x:v>1</x:v>
      </x:c>
      <x:c r="J301" s="40" t="n">
        <x:f>B301/1000000000</x:f>
        <x:v>25.5</x:v>
      </x:c>
      <x:c r="K301" s="41" t="n">
        <x:f>IF(C301&lt;0,NA(),(F301-B301)/1000000)</x:f>
        <x:v>0.093308</x:v>
      </x:c>
      <x:c r="L301" s="39" t="n">
        <x:f>IF(C301&lt;0,1,IF(OR(G301=0,H301=0,I301=0,F301-B301&gt;100000000),1,0))</x:f>
        <x:v>0</x:v>
      </x:c>
      <x:c r="M301" s="39" t="n">
        <x:f>IF(C301&lt;0,1,0)</x:f>
        <x:v>0</x:v>
      </x:c>
      <x:c r="N301" s="1"/>
      <x:c r="O301" s="1"/>
      <x:c r="P301" s="1"/>
      <x:c r="Q301" s="1"/>
      <x:c r="R301" s="1"/>
    </x:row>
    <x:row r="302" ht="22" customHeight="1">
      <x:c r="A302" s="39" t="n">
        <x:v>256</x:v>
      </x:c>
      <x:c r="B302" s="39" t="n">
        <x:v>25600000000</x:v>
      </x:c>
      <x:c r="C302" s="39" t="n">
        <x:v>25600053564</x:v>
      </x:c>
      <x:c r="D302" s="39" t="n">
        <x:v>25600060786</x:v>
      </x:c>
      <x:c r="E302" s="39" t="n">
        <x:v>25600069378</x:v>
      </x:c>
      <x:c r="F302" s="39" t="n">
        <x:v>25600078692</x:v>
      </x:c>
      <x:c r="G302" s="39" t="n">
        <x:v>1</x:v>
      </x:c>
      <x:c r="H302" s="39" t="n">
        <x:v>1</x:v>
      </x:c>
      <x:c r="I302" s="39" t="n">
        <x:v>1</x:v>
      </x:c>
      <x:c r="J302" s="40" t="n">
        <x:f>B302/1000000000</x:f>
        <x:v>25.6</x:v>
      </x:c>
      <x:c r="K302" s="41" t="n">
        <x:f>IF(C302&lt;0,NA(),(F302-B302)/1000000)</x:f>
        <x:v>0.078692</x:v>
      </x:c>
      <x:c r="L302" s="39" t="n">
        <x:f>IF(C302&lt;0,1,IF(OR(G302=0,H302=0,I302=0,F302-B302&gt;100000000),1,0))</x:f>
        <x:v>0</x:v>
      </x:c>
      <x:c r="M302" s="39" t="n">
        <x:f>IF(C302&lt;0,1,0)</x:f>
        <x:v>0</x:v>
      </x:c>
      <x:c r="N302" s="1"/>
      <x:c r="O302" s="1"/>
      <x:c r="P302" s="1"/>
      <x:c r="Q302" s="1"/>
      <x:c r="R302" s="1"/>
    </x:row>
    <x:row r="303" ht="22" customHeight="1">
      <x:c r="A303" s="39" t="n">
        <x:v>257</x:v>
      </x:c>
      <x:c r="B303" s="39" t="n">
        <x:v>25700000000</x:v>
      </x:c>
      <x:c r="C303" s="39" t="n">
        <x:v>25700050466</x:v>
      </x:c>
      <x:c r="D303" s="39" t="n">
        <x:v>25700056670</x:v>
      </x:c>
      <x:c r="E303" s="39" t="n">
        <x:v>25700064207</x:v>
      </x:c>
      <x:c r="F303" s="39" t="n">
        <x:v>25700073484</x:v>
      </x:c>
      <x:c r="G303" s="39" t="n">
        <x:v>1</x:v>
      </x:c>
      <x:c r="H303" s="39" t="n">
        <x:v>1</x:v>
      </x:c>
      <x:c r="I303" s="39" t="n">
        <x:v>1</x:v>
      </x:c>
      <x:c r="J303" s="40" t="n">
        <x:f>B303/1000000000</x:f>
        <x:v>25.7</x:v>
      </x:c>
      <x:c r="K303" s="41" t="n">
        <x:f>IF(C303&lt;0,NA(),(F303-B303)/1000000)</x:f>
        <x:v>0.073484</x:v>
      </x:c>
      <x:c r="L303" s="39" t="n">
        <x:f>IF(C303&lt;0,1,IF(OR(G303=0,H303=0,I303=0,F303-B303&gt;100000000),1,0))</x:f>
        <x:v>0</x:v>
      </x:c>
      <x:c r="M303" s="39" t="n">
        <x:f>IF(C303&lt;0,1,0)</x:f>
        <x:v>0</x:v>
      </x:c>
      <x:c r="N303" s="1"/>
      <x:c r="O303" s="1"/>
      <x:c r="P303" s="1"/>
      <x:c r="Q303" s="1"/>
      <x:c r="R303" s="1"/>
    </x:row>
    <x:row r="304" ht="22" customHeight="1">
      <x:c r="A304" s="39" t="n">
        <x:v>258</x:v>
      </x:c>
      <x:c r="B304" s="39" t="n">
        <x:v>25800000000</x:v>
      </x:c>
      <x:c r="C304" s="39" t="n">
        <x:v>25800059739</x:v>
      </x:c>
      <x:c r="D304" s="39" t="n">
        <x:v>25800094275</x:v>
      </x:c>
      <x:c r="E304" s="39" t="n">
        <x:v>25800120478</x:v>
      </x:c>
      <x:c r="F304" s="39" t="n">
        <x:v>25800130718</x:v>
      </x:c>
      <x:c r="G304" s="39" t="n">
        <x:v>1</x:v>
      </x:c>
      <x:c r="H304" s="39" t="n">
        <x:v>1</x:v>
      </x:c>
      <x:c r="I304" s="39" t="n">
        <x:v>1</x:v>
      </x:c>
      <x:c r="J304" s="40" t="n">
        <x:f>B304/1000000000</x:f>
        <x:v>25.8</x:v>
      </x:c>
      <x:c r="K304" s="41" t="n">
        <x:f>IF(C304&lt;0,NA(),(F304-B304)/1000000)</x:f>
        <x:v>0.130718</x:v>
      </x:c>
      <x:c r="L304" s="39" t="n">
        <x:f>IF(C304&lt;0,1,IF(OR(G304=0,H304=0,I304=0,F304-B304&gt;100000000),1,0))</x:f>
        <x:v>0</x:v>
      </x:c>
      <x:c r="M304" s="39" t="n">
        <x:f>IF(C304&lt;0,1,0)</x:f>
        <x:v>0</x:v>
      </x:c>
      <x:c r="N304" s="1"/>
      <x:c r="O304" s="1"/>
      <x:c r="P304" s="1"/>
      <x:c r="Q304" s="1"/>
      <x:c r="R304" s="1"/>
    </x:row>
    <x:row r="305" ht="22" customHeight="1">
      <x:c r="A305" s="39" t="n">
        <x:v>259</x:v>
      </x:c>
      <x:c r="B305" s="39" t="n">
        <x:v>25900000000</x:v>
      </x:c>
      <x:c r="C305" s="39" t="n">
        <x:v>25900057431</x:v>
      </x:c>
      <x:c r="D305" s="39" t="n">
        <x:v>25900076079</x:v>
      </x:c>
      <x:c r="E305" s="39" t="n">
        <x:v>25900095115</x:v>
      </x:c>
      <x:c r="F305" s="39" t="n">
        <x:v>25900105189</x:v>
      </x:c>
      <x:c r="G305" s="39" t="n">
        <x:v>1</x:v>
      </x:c>
      <x:c r="H305" s="39" t="n">
        <x:v>1</x:v>
      </x:c>
      <x:c r="I305" s="39" t="n">
        <x:v>1</x:v>
      </x:c>
      <x:c r="J305" s="40" t="n">
        <x:f>B305/1000000000</x:f>
        <x:v>25.9</x:v>
      </x:c>
      <x:c r="K305" s="41" t="n">
        <x:f>IF(C305&lt;0,NA(),(F305-B305)/1000000)</x:f>
        <x:v>0.105189</x:v>
      </x:c>
      <x:c r="L305" s="39" t="n">
        <x:f>IF(C305&lt;0,1,IF(OR(G305=0,H305=0,I305=0,F305-B305&gt;100000000),1,0))</x:f>
        <x:v>0</x:v>
      </x:c>
      <x:c r="M305" s="39" t="n">
        <x:f>IF(C305&lt;0,1,0)</x:f>
        <x:v>0</x:v>
      </x:c>
      <x:c r="N305" s="1"/>
      <x:c r="O305" s="1"/>
      <x:c r="P305" s="1"/>
      <x:c r="Q305" s="1"/>
      <x:c r="R305" s="1"/>
    </x:row>
    <x:row r="306" ht="22" customHeight="1">
      <x:c r="A306" s="39" t="n">
        <x:v>260</x:v>
      </x:c>
      <x:c r="B306" s="39" t="n">
        <x:v>26000000000</x:v>
      </x:c>
      <x:c r="C306" s="39" t="n">
        <x:v>26000054242</x:v>
      </x:c>
      <x:c r="D306" s="39" t="n">
        <x:v>26000065871</x:v>
      </x:c>
      <x:c r="E306" s="39" t="n">
        <x:v>26000081296</x:v>
      </x:c>
      <x:c r="F306" s="39" t="n">
        <x:v>26000090833</x:v>
      </x:c>
      <x:c r="G306" s="39" t="n">
        <x:v>1</x:v>
      </x:c>
      <x:c r="H306" s="39" t="n">
        <x:v>1</x:v>
      </x:c>
      <x:c r="I306" s="39" t="n">
        <x:v>1</x:v>
      </x:c>
      <x:c r="J306" s="40" t="n">
        <x:f>B306/1000000000</x:f>
        <x:v>26</x:v>
      </x:c>
      <x:c r="K306" s="41" t="n">
        <x:f>IF(C306&lt;0,NA(),(F306-B306)/1000000)</x:f>
        <x:v>0.090833</x:v>
      </x:c>
      <x:c r="L306" s="39" t="n">
        <x:f>IF(C306&lt;0,1,IF(OR(G306=0,H306=0,I306=0,F306-B306&gt;100000000),1,0))</x:f>
        <x:v>0</x:v>
      </x:c>
      <x:c r="M306" s="39" t="n">
        <x:f>IF(C306&lt;0,1,0)</x:f>
        <x:v>0</x:v>
      </x:c>
      <x:c r="N306" s="1"/>
      <x:c r="O306" s="1"/>
      <x:c r="P306" s="1"/>
      <x:c r="Q306" s="1"/>
      <x:c r="R306" s="1"/>
    </x:row>
    <x:row r="307" ht="22" customHeight="1">
      <x:c r="A307" s="39" t="n">
        <x:v>261</x:v>
      </x:c>
      <x:c r="B307" s="39" t="n">
        <x:v>26100000000</x:v>
      </x:c>
      <x:c r="C307" s="39" t="n">
        <x:v>26100052163</x:v>
      </x:c>
      <x:c r="D307" s="39" t="n">
        <x:v>26100059848</x:v>
      </x:c>
      <x:c r="E307" s="39" t="n">
        <x:v>26100068848</x:v>
      </x:c>
      <x:c r="F307" s="39" t="n">
        <x:v>26100078199</x:v>
      </x:c>
      <x:c r="G307" s="39" t="n">
        <x:v>1</x:v>
      </x:c>
      <x:c r="H307" s="39" t="n">
        <x:v>1</x:v>
      </x:c>
      <x:c r="I307" s="39" t="n">
        <x:v>1</x:v>
      </x:c>
      <x:c r="J307" s="40" t="n">
        <x:f>B307/1000000000</x:f>
        <x:v>26.1</x:v>
      </x:c>
      <x:c r="K307" s="41" t="n">
        <x:f>IF(C307&lt;0,NA(),(F307-B307)/1000000)</x:f>
        <x:v>0.078199</x:v>
      </x:c>
      <x:c r="L307" s="39" t="n">
        <x:f>IF(C307&lt;0,1,IF(OR(G307=0,H307=0,I307=0,F307-B307&gt;100000000),1,0))</x:f>
        <x:v>0</x:v>
      </x:c>
      <x:c r="M307" s="39" t="n">
        <x:f>IF(C307&lt;0,1,0)</x:f>
        <x:v>0</x:v>
      </x:c>
      <x:c r="N307" s="1"/>
      <x:c r="O307" s="1"/>
      <x:c r="P307" s="1"/>
      <x:c r="Q307" s="1"/>
      <x:c r="R307" s="1"/>
    </x:row>
    <x:row r="308" ht="22" customHeight="1">
      <x:c r="A308" s="39" t="n">
        <x:v>262</x:v>
      </x:c>
      <x:c r="B308" s="39" t="n">
        <x:v>26200000000</x:v>
      </x:c>
      <x:c r="C308" s="39" t="n">
        <x:v>26200055399</x:v>
      </x:c>
      <x:c r="D308" s="39" t="n">
        <x:v>26200068714</x:v>
      </x:c>
      <x:c r="E308" s="39" t="n">
        <x:v>26200082880</x:v>
      </x:c>
      <x:c r="F308" s="39" t="n">
        <x:v>26200092454</x:v>
      </x:c>
      <x:c r="G308" s="39" t="n">
        <x:v>1</x:v>
      </x:c>
      <x:c r="H308" s="39" t="n">
        <x:v>1</x:v>
      </x:c>
      <x:c r="I308" s="39" t="n">
        <x:v>1</x:v>
      </x:c>
      <x:c r="J308" s="40" t="n">
        <x:f>B308/1000000000</x:f>
        <x:v>26.2</x:v>
      </x:c>
      <x:c r="K308" s="41" t="n">
        <x:f>IF(C308&lt;0,NA(),(F308-B308)/1000000)</x:f>
        <x:v>0.092454</x:v>
      </x:c>
      <x:c r="L308" s="39" t="n">
        <x:f>IF(C308&lt;0,1,IF(OR(G308=0,H308=0,I308=0,F308-B308&gt;100000000),1,0))</x:f>
        <x:v>0</x:v>
      </x:c>
      <x:c r="M308" s="39" t="n">
        <x:f>IF(C308&lt;0,1,0)</x:f>
        <x:v>0</x:v>
      </x:c>
      <x:c r="N308" s="1"/>
      <x:c r="O308" s="1"/>
      <x:c r="P308" s="1"/>
      <x:c r="Q308" s="1"/>
      <x:c r="R308" s="1"/>
    </x:row>
    <x:row r="309" ht="22" customHeight="1">
      <x:c r="A309" s="39" t="n">
        <x:v>263</x:v>
      </x:c>
      <x:c r="B309" s="39" t="n">
        <x:v>26300000000</x:v>
      </x:c>
      <x:c r="C309" s="39" t="n">
        <x:v>26300051451</x:v>
      </x:c>
      <x:c r="D309" s="39" t="n">
        <x:v>26300059673</x:v>
      </x:c>
      <x:c r="E309" s="39" t="n">
        <x:v>26300068857</x:v>
      </x:c>
      <x:c r="F309" s="39" t="n">
        <x:v>26300078579</x:v>
      </x:c>
      <x:c r="G309" s="39" t="n">
        <x:v>1</x:v>
      </x:c>
      <x:c r="H309" s="39" t="n">
        <x:v>1</x:v>
      </x:c>
      <x:c r="I309" s="39" t="n">
        <x:v>1</x:v>
      </x:c>
      <x:c r="J309" s="40" t="n">
        <x:f>B309/1000000000</x:f>
        <x:v>26.3</x:v>
      </x:c>
      <x:c r="K309" s="41" t="n">
        <x:f>IF(C309&lt;0,NA(),(F309-B309)/1000000)</x:f>
        <x:v>0.078579</x:v>
      </x:c>
      <x:c r="L309" s="39" t="n">
        <x:f>IF(C309&lt;0,1,IF(OR(G309=0,H309=0,I309=0,F309-B309&gt;100000000),1,0))</x:f>
        <x:v>0</x:v>
      </x:c>
      <x:c r="M309" s="39" t="n">
        <x:f>IF(C309&lt;0,1,0)</x:f>
        <x:v>0</x:v>
      </x:c>
      <x:c r="N309" s="1"/>
      <x:c r="O309" s="1"/>
      <x:c r="P309" s="1"/>
      <x:c r="Q309" s="1"/>
      <x:c r="R309" s="1"/>
    </x:row>
    <x:row r="310" ht="22" customHeight="1">
      <x:c r="A310" s="39" t="n">
        <x:v>264</x:v>
      </x:c>
      <x:c r="B310" s="39" t="n">
        <x:v>26400000000</x:v>
      </x:c>
      <x:c r="C310" s="39" t="n">
        <x:v>26400052687</x:v>
      </x:c>
      <x:c r="D310" s="39" t="n">
        <x:v>26400067335</x:v>
      </x:c>
      <x:c r="E310" s="39" t="n">
        <x:v>26400080130</x:v>
      </x:c>
      <x:c r="F310" s="39" t="n">
        <x:v>26400090371</x:v>
      </x:c>
      <x:c r="G310" s="39" t="n">
        <x:v>1</x:v>
      </x:c>
      <x:c r="H310" s="39" t="n">
        <x:v>1</x:v>
      </x:c>
      <x:c r="I310" s="39" t="n">
        <x:v>1</x:v>
      </x:c>
      <x:c r="J310" s="40" t="n">
        <x:f>B310/1000000000</x:f>
        <x:v>26.4</x:v>
      </x:c>
      <x:c r="K310" s="41" t="n">
        <x:f>IF(C310&lt;0,NA(),(F310-B310)/1000000)</x:f>
        <x:v>0.090371</x:v>
      </x:c>
      <x:c r="L310" s="39" t="n">
        <x:f>IF(C310&lt;0,1,IF(OR(G310=0,H310=0,I310=0,F310-B310&gt;100000000),1,0))</x:f>
        <x:v>0</x:v>
      </x:c>
      <x:c r="M310" s="39" t="n">
        <x:f>IF(C310&lt;0,1,0)</x:f>
        <x:v>0</x:v>
      </x:c>
      <x:c r="N310" s="1"/>
      <x:c r="O310" s="1"/>
      <x:c r="P310" s="1"/>
      <x:c r="Q310" s="1"/>
      <x:c r="R310" s="1"/>
    </x:row>
    <x:row r="311" ht="22" customHeight="1">
      <x:c r="A311" s="39" t="n">
        <x:v>265</x:v>
      </x:c>
      <x:c r="B311" s="39" t="n">
        <x:v>26500000000</x:v>
      </x:c>
      <x:c r="C311" s="39" t="n">
        <x:v>26500054312</x:v>
      </x:c>
      <x:c r="D311" s="39" t="n">
        <x:v>26500067904</x:v>
      </x:c>
      <x:c r="E311" s="39" t="n">
        <x:v>26500080644</x:v>
      </x:c>
      <x:c r="F311" s="39" t="n">
        <x:v>26500090792</x:v>
      </x:c>
      <x:c r="G311" s="39" t="n">
        <x:v>1</x:v>
      </x:c>
      <x:c r="H311" s="39" t="n">
        <x:v>1</x:v>
      </x:c>
      <x:c r="I311" s="39" t="n">
        <x:v>1</x:v>
      </x:c>
      <x:c r="J311" s="40" t="n">
        <x:f>B311/1000000000</x:f>
        <x:v>26.5</x:v>
      </x:c>
      <x:c r="K311" s="41" t="n">
        <x:f>IF(C311&lt;0,NA(),(F311-B311)/1000000)</x:f>
        <x:v>0.090792</x:v>
      </x:c>
      <x:c r="L311" s="39" t="n">
        <x:f>IF(C311&lt;0,1,IF(OR(G311=0,H311=0,I311=0,F311-B311&gt;100000000),1,0))</x:f>
        <x:v>0</x:v>
      </x:c>
      <x:c r="M311" s="39" t="n">
        <x:f>IF(C311&lt;0,1,0)</x:f>
        <x:v>0</x:v>
      </x:c>
      <x:c r="N311" s="1"/>
      <x:c r="O311" s="1"/>
      <x:c r="P311" s="1"/>
      <x:c r="Q311" s="1"/>
      <x:c r="R311" s="1"/>
    </x:row>
    <x:row r="312" ht="22" customHeight="1">
      <x:c r="A312" s="39" t="n">
        <x:v>266</x:v>
      </x:c>
      <x:c r="B312" s="39" t="n">
        <x:v>26600000000</x:v>
      </x:c>
      <x:c r="C312" s="39" t="n">
        <x:v>26600054085</x:v>
      </x:c>
      <x:c r="D312" s="39" t="n">
        <x:v>26600061678</x:v>
      </x:c>
      <x:c r="E312" s="39" t="n">
        <x:v>26600070048</x:v>
      </x:c>
      <x:c r="F312" s="39" t="n">
        <x:v>26600079603</x:v>
      </x:c>
      <x:c r="G312" s="39" t="n">
        <x:v>1</x:v>
      </x:c>
      <x:c r="H312" s="39" t="n">
        <x:v>1</x:v>
      </x:c>
      <x:c r="I312" s="39" t="n">
        <x:v>1</x:v>
      </x:c>
      <x:c r="J312" s="40" t="n">
        <x:f>B312/1000000000</x:f>
        <x:v>26.6</x:v>
      </x:c>
      <x:c r="K312" s="41" t="n">
        <x:f>IF(C312&lt;0,NA(),(F312-B312)/1000000)</x:f>
        <x:v>0.079603</x:v>
      </x:c>
      <x:c r="L312" s="39" t="n">
        <x:f>IF(C312&lt;0,1,IF(OR(G312=0,H312=0,I312=0,F312-B312&gt;100000000),1,0))</x:f>
        <x:v>0</x:v>
      </x:c>
      <x:c r="M312" s="39" t="n">
        <x:f>IF(C312&lt;0,1,0)</x:f>
        <x:v>0</x:v>
      </x:c>
      <x:c r="N312" s="1"/>
      <x:c r="O312" s="1"/>
      <x:c r="P312" s="1"/>
      <x:c r="Q312" s="1"/>
      <x:c r="R312" s="1"/>
    </x:row>
    <x:row r="313" ht="22" customHeight="1">
      <x:c r="A313" s="39" t="n">
        <x:v>267</x:v>
      </x:c>
      <x:c r="B313" s="39" t="n">
        <x:v>26700000000</x:v>
      </x:c>
      <x:c r="C313" s="39" t="n">
        <x:v>26700050525</x:v>
      </x:c>
      <x:c r="D313" s="39" t="n">
        <x:v>26700056821</x:v>
      </x:c>
      <x:c r="E313" s="39" t="n">
        <x:v>26700065562</x:v>
      </x:c>
      <x:c r="F313" s="39" t="n">
        <x:v>26700075117</x:v>
      </x:c>
      <x:c r="G313" s="39" t="n">
        <x:v>1</x:v>
      </x:c>
      <x:c r="H313" s="39" t="n">
        <x:v>1</x:v>
      </x:c>
      <x:c r="I313" s="39" t="n">
        <x:v>1</x:v>
      </x:c>
      <x:c r="J313" s="40" t="n">
        <x:f>B313/1000000000</x:f>
        <x:v>26.7</x:v>
      </x:c>
      <x:c r="K313" s="41" t="n">
        <x:f>IF(C313&lt;0,NA(),(F313-B313)/1000000)</x:f>
        <x:v>0.075117</x:v>
      </x:c>
      <x:c r="L313" s="39" t="n">
        <x:f>IF(C313&lt;0,1,IF(OR(G313=0,H313=0,I313=0,F313-B313&gt;100000000),1,0))</x:f>
        <x:v>0</x:v>
      </x:c>
      <x:c r="M313" s="39" t="n">
        <x:f>IF(C313&lt;0,1,0)</x:f>
        <x:v>0</x:v>
      </x:c>
      <x:c r="N313" s="1"/>
      <x:c r="O313" s="1"/>
      <x:c r="P313" s="1"/>
      <x:c r="Q313" s="1"/>
      <x:c r="R313" s="1"/>
    </x:row>
    <x:row r="314" ht="22" customHeight="1">
      <x:c r="A314" s="39" t="n">
        <x:v>268</x:v>
      </x:c>
      <x:c r="B314" s="39" t="n">
        <x:v>26800000000</x:v>
      </x:c>
      <x:c r="C314" s="39" t="n">
        <x:v>26800055243</x:v>
      </x:c>
      <x:c r="D314" s="39" t="n">
        <x:v>26800073817</x:v>
      </x:c>
      <x:c r="E314" s="39" t="n">
        <x:v>26800090316</x:v>
      </x:c>
      <x:c r="F314" s="39" t="n">
        <x:v>26800100316</x:v>
      </x:c>
      <x:c r="G314" s="39" t="n">
        <x:v>1</x:v>
      </x:c>
      <x:c r="H314" s="39" t="n">
        <x:v>1</x:v>
      </x:c>
      <x:c r="I314" s="39" t="n">
        <x:v>1</x:v>
      </x:c>
      <x:c r="J314" s="40" t="n">
        <x:f>B314/1000000000</x:f>
        <x:v>26.8</x:v>
      </x:c>
      <x:c r="K314" s="41" t="n">
        <x:f>IF(C314&lt;0,NA(),(F314-B314)/1000000)</x:f>
        <x:v>0.100316</x:v>
      </x:c>
      <x:c r="L314" s="39" t="n">
        <x:f>IF(C314&lt;0,1,IF(OR(G314=0,H314=0,I314=0,F314-B314&gt;100000000),1,0))</x:f>
        <x:v>0</x:v>
      </x:c>
      <x:c r="M314" s="39" t="n">
        <x:f>IF(C314&lt;0,1,0)</x:f>
        <x:v>0</x:v>
      </x:c>
      <x:c r="N314" s="1"/>
      <x:c r="O314" s="1"/>
      <x:c r="P314" s="1"/>
      <x:c r="Q314" s="1"/>
      <x:c r="R314" s="1"/>
    </x:row>
    <x:row r="315" ht="22" customHeight="1">
      <x:c r="A315" s="39" t="n">
        <x:v>269</x:v>
      </x:c>
      <x:c r="B315" s="39" t="n">
        <x:v>26900000000</x:v>
      </x:c>
      <x:c r="C315" s="39" t="n">
        <x:v>26900054299</x:v>
      </x:c>
      <x:c r="D315" s="39" t="n">
        <x:v>26900066428</x:v>
      </x:c>
      <x:c r="E315" s="39" t="n">
        <x:v>26900078668</x:v>
      </x:c>
      <x:c r="F315" s="39" t="n">
        <x:v>26900088557</x:v>
      </x:c>
      <x:c r="G315" s="39" t="n">
        <x:v>1</x:v>
      </x:c>
      <x:c r="H315" s="39" t="n">
        <x:v>1</x:v>
      </x:c>
      <x:c r="I315" s="39" t="n">
        <x:v>1</x:v>
      </x:c>
      <x:c r="J315" s="40" t="n">
        <x:f>B315/1000000000</x:f>
        <x:v>26.9</x:v>
      </x:c>
      <x:c r="K315" s="41" t="n">
        <x:f>IF(C315&lt;0,NA(),(F315-B315)/1000000)</x:f>
        <x:v>0.088557</x:v>
      </x:c>
      <x:c r="L315" s="39" t="n">
        <x:f>IF(C315&lt;0,1,IF(OR(G315=0,H315=0,I315=0,F315-B315&gt;100000000),1,0))</x:f>
        <x:v>0</x:v>
      </x:c>
      <x:c r="M315" s="39" t="n">
        <x:f>IF(C315&lt;0,1,0)</x:f>
        <x:v>0</x:v>
      </x:c>
      <x:c r="N315" s="1"/>
      <x:c r="O315" s="1"/>
      <x:c r="P315" s="1"/>
      <x:c r="Q315" s="1"/>
      <x:c r="R315" s="1"/>
    </x:row>
    <x:row r="316" ht="22" customHeight="1">
      <x:c r="A316" s="39" t="n">
        <x:v>270</x:v>
      </x:c>
      <x:c r="B316" s="39" t="n">
        <x:v>27000000000</x:v>
      </x:c>
      <x:c r="C316" s="39" t="n">
        <x:v>27000058322</x:v>
      </x:c>
      <x:c r="D316" s="39" t="n">
        <x:v>27000087228</x:v>
      </x:c>
      <x:c r="E316" s="39" t="n">
        <x:v>27000108672</x:v>
      </x:c>
      <x:c r="F316" s="39" t="n">
        <x:v>27000118616</x:v>
      </x:c>
      <x:c r="G316" s="39" t="n">
        <x:v>1</x:v>
      </x:c>
      <x:c r="H316" s="39" t="n">
        <x:v>1</x:v>
      </x:c>
      <x:c r="I316" s="39" t="n">
        <x:v>1</x:v>
      </x:c>
      <x:c r="J316" s="40" t="n">
        <x:f>B316/1000000000</x:f>
        <x:v>27</x:v>
      </x:c>
      <x:c r="K316" s="41" t="n">
        <x:f>IF(C316&lt;0,NA(),(F316-B316)/1000000)</x:f>
        <x:v>0.118616</x:v>
      </x:c>
      <x:c r="L316" s="39" t="n">
        <x:f>IF(C316&lt;0,1,IF(OR(G316=0,H316=0,I316=0,F316-B316&gt;100000000),1,0))</x:f>
        <x:v>0</x:v>
      </x:c>
      <x:c r="M316" s="39" t="n">
        <x:f>IF(C316&lt;0,1,0)</x:f>
        <x:v>0</x:v>
      </x:c>
      <x:c r="N316" s="1"/>
      <x:c r="O316" s="1"/>
      <x:c r="P316" s="1"/>
      <x:c r="Q316" s="1"/>
      <x:c r="R316" s="1"/>
    </x:row>
    <x:row r="317" ht="22" customHeight="1">
      <x:c r="A317" s="39" t="n">
        <x:v>271</x:v>
      </x:c>
      <x:c r="B317" s="39" t="n">
        <x:v>27100000000</x:v>
      </x:c>
      <x:c r="C317" s="39" t="n">
        <x:v>27100052512</x:v>
      </x:c>
      <x:c r="D317" s="39" t="n">
        <x:v>27100061012</x:v>
      </x:c>
      <x:c r="E317" s="39" t="n">
        <x:v>27100070586</x:v>
      </x:c>
      <x:c r="F317" s="39" t="n">
        <x:v>27100079919</x:v>
      </x:c>
      <x:c r="G317" s="39" t="n">
        <x:v>1</x:v>
      </x:c>
      <x:c r="H317" s="39" t="n">
        <x:v>1</x:v>
      </x:c>
      <x:c r="I317" s="39" t="n">
        <x:v>1</x:v>
      </x:c>
      <x:c r="J317" s="40" t="n">
        <x:f>B317/1000000000</x:f>
        <x:v>27.1</x:v>
      </x:c>
      <x:c r="K317" s="41" t="n">
        <x:f>IF(C317&lt;0,NA(),(F317-B317)/1000000)</x:f>
        <x:v>0.079919</x:v>
      </x:c>
      <x:c r="L317" s="39" t="n">
        <x:f>IF(C317&lt;0,1,IF(OR(G317=0,H317=0,I317=0,F317-B317&gt;100000000),1,0))</x:f>
        <x:v>0</x:v>
      </x:c>
      <x:c r="M317" s="39" t="n">
        <x:f>IF(C317&lt;0,1,0)</x:f>
        <x:v>0</x:v>
      </x:c>
      <x:c r="N317" s="1"/>
      <x:c r="O317" s="1"/>
      <x:c r="P317" s="1"/>
      <x:c r="Q317" s="1"/>
      <x:c r="R317" s="1"/>
    </x:row>
    <x:row r="318" ht="22" customHeight="1">
      <x:c r="A318" s="39" t="n">
        <x:v>272</x:v>
      </x:c>
      <x:c r="B318" s="39" t="n">
        <x:v>27200000000</x:v>
      </x:c>
      <x:c r="C318" s="39" t="n">
        <x:v>27200055406</x:v>
      </x:c>
      <x:c r="D318" s="39" t="n">
        <x:v>27200067961</x:v>
      </x:c>
      <x:c r="E318" s="39" t="n">
        <x:v>27200080387</x:v>
      </x:c>
      <x:c r="F318" s="39" t="n">
        <x:v>27200090072</x:v>
      </x:c>
      <x:c r="G318" s="39" t="n">
        <x:v>1</x:v>
      </x:c>
      <x:c r="H318" s="39" t="n">
        <x:v>1</x:v>
      </x:c>
      <x:c r="I318" s="39" t="n">
        <x:v>1</x:v>
      </x:c>
      <x:c r="J318" s="40" t="n">
        <x:f>B318/1000000000</x:f>
        <x:v>27.2</x:v>
      </x:c>
      <x:c r="K318" s="41" t="n">
        <x:f>IF(C318&lt;0,NA(),(F318-B318)/1000000)</x:f>
        <x:v>0.090072</x:v>
      </x:c>
      <x:c r="L318" s="39" t="n">
        <x:f>IF(C318&lt;0,1,IF(OR(G318=0,H318=0,I318=0,F318-B318&gt;100000000),1,0))</x:f>
        <x:v>0</x:v>
      </x:c>
      <x:c r="M318" s="39" t="n">
        <x:f>IF(C318&lt;0,1,0)</x:f>
        <x:v>0</x:v>
      </x:c>
      <x:c r="N318" s="1"/>
      <x:c r="O318" s="1"/>
      <x:c r="P318" s="1"/>
      <x:c r="Q318" s="1"/>
      <x:c r="R318" s="1"/>
    </x:row>
    <x:row r="319" ht="22" customHeight="1">
      <x:c r="A319" s="39" t="n">
        <x:v>273</x:v>
      </x:c>
      <x:c r="B319" s="39" t="n">
        <x:v>27300000000</x:v>
      </x:c>
      <x:c r="C319" s="39" t="n">
        <x:v>27300051319</x:v>
      </x:c>
      <x:c r="D319" s="39" t="n">
        <x:v>27300058874</x:v>
      </x:c>
      <x:c r="E319" s="39" t="n">
        <x:v>27300067559</x:v>
      </x:c>
      <x:c r="F319" s="39" t="n">
        <x:v>27300077003</x:v>
      </x:c>
      <x:c r="G319" s="39" t="n">
        <x:v>1</x:v>
      </x:c>
      <x:c r="H319" s="39" t="n">
        <x:v>1</x:v>
      </x:c>
      <x:c r="I319" s="39" t="n">
        <x:v>1</x:v>
      </x:c>
      <x:c r="J319" s="40" t="n">
        <x:f>B319/1000000000</x:f>
        <x:v>27.3</x:v>
      </x:c>
      <x:c r="K319" s="41" t="n">
        <x:f>IF(C319&lt;0,NA(),(F319-B319)/1000000)</x:f>
        <x:v>0.077003</x:v>
      </x:c>
      <x:c r="L319" s="39" t="n">
        <x:f>IF(C319&lt;0,1,IF(OR(G319=0,H319=0,I319=0,F319-B319&gt;100000000),1,0))</x:f>
        <x:v>0</x:v>
      </x:c>
      <x:c r="M319" s="39" t="n">
        <x:f>IF(C319&lt;0,1,0)</x:f>
        <x:v>0</x:v>
      </x:c>
      <x:c r="N319" s="1"/>
      <x:c r="O319" s="1"/>
      <x:c r="P319" s="1"/>
      <x:c r="Q319" s="1"/>
      <x:c r="R319" s="1"/>
    </x:row>
    <x:row r="320" ht="22" customHeight="1">
      <x:c r="A320" s="39" t="n">
        <x:v>274</x:v>
      </x:c>
      <x:c r="B320" s="39" t="n">
        <x:v>27400000000</x:v>
      </x:c>
      <x:c r="C320" s="39" t="n">
        <x:v>27400051416</x:v>
      </x:c>
      <x:c r="D320" s="39" t="n">
        <x:v>27400057490</x:v>
      </x:c>
      <x:c r="E320" s="39" t="n">
        <x:v>27400065008</x:v>
      </x:c>
      <x:c r="F320" s="39" t="n">
        <x:v>27400074323</x:v>
      </x:c>
      <x:c r="G320" s="39" t="n">
        <x:v>1</x:v>
      </x:c>
      <x:c r="H320" s="39" t="n">
        <x:v>1</x:v>
      </x:c>
      <x:c r="I320" s="39" t="n">
        <x:v>1</x:v>
      </x:c>
      <x:c r="J320" s="40" t="n">
        <x:f>B320/1000000000</x:f>
        <x:v>27.4</x:v>
      </x:c>
      <x:c r="K320" s="41" t="n">
        <x:f>IF(C320&lt;0,NA(),(F320-B320)/1000000)</x:f>
        <x:v>0.074323</x:v>
      </x:c>
      <x:c r="L320" s="39" t="n">
        <x:f>IF(C320&lt;0,1,IF(OR(G320=0,H320=0,I320=0,F320-B320&gt;100000000),1,0))</x:f>
        <x:v>0</x:v>
      </x:c>
      <x:c r="M320" s="39" t="n">
        <x:f>IF(C320&lt;0,1,0)</x:f>
        <x:v>0</x:v>
      </x:c>
      <x:c r="N320" s="1"/>
      <x:c r="O320" s="1"/>
      <x:c r="P320" s="1"/>
      <x:c r="Q320" s="1"/>
      <x:c r="R320" s="1"/>
    </x:row>
    <x:row r="321" ht="22" customHeight="1">
      <x:c r="A321" s="39" t="n">
        <x:v>275</x:v>
      </x:c>
      <x:c r="B321" s="39" t="n">
        <x:v>27500000000</x:v>
      </x:c>
      <x:c r="C321" s="39" t="n">
        <x:v>27500053569</x:v>
      </x:c>
      <x:c r="D321" s="39" t="n">
        <x:v>27500066069</x:v>
      </x:c>
      <x:c r="E321" s="39" t="n">
        <x:v>27500078402</x:v>
      </x:c>
      <x:c r="F321" s="39" t="n">
        <x:v>27500088012</x:v>
      </x:c>
      <x:c r="G321" s="39" t="n">
        <x:v>1</x:v>
      </x:c>
      <x:c r="H321" s="39" t="n">
        <x:v>1</x:v>
      </x:c>
      <x:c r="I321" s="39" t="n">
        <x:v>1</x:v>
      </x:c>
      <x:c r="J321" s="40" t="n">
        <x:f>B321/1000000000</x:f>
        <x:v>27.5</x:v>
      </x:c>
      <x:c r="K321" s="41" t="n">
        <x:f>IF(C321&lt;0,NA(),(F321-B321)/1000000)</x:f>
        <x:v>0.088012</x:v>
      </x:c>
      <x:c r="L321" s="39" t="n">
        <x:f>IF(C321&lt;0,1,IF(OR(G321=0,H321=0,I321=0,F321-B321&gt;100000000),1,0))</x:f>
        <x:v>0</x:v>
      </x:c>
      <x:c r="M321" s="39" t="n">
        <x:f>IF(C321&lt;0,1,0)</x:f>
        <x:v>0</x:v>
      </x:c>
      <x:c r="N321" s="1"/>
      <x:c r="O321" s="1"/>
      <x:c r="P321" s="1"/>
      <x:c r="Q321" s="1"/>
      <x:c r="R321" s="1"/>
    </x:row>
    <x:row r="322" ht="22" customHeight="1">
      <x:c r="A322" s="39" t="n">
        <x:v>276</x:v>
      </x:c>
      <x:c r="B322" s="39" t="n">
        <x:v>27600000000</x:v>
      </x:c>
      <x:c r="C322" s="39" t="n">
        <x:v>27600061296</x:v>
      </x:c>
      <x:c r="D322" s="39" t="n">
        <x:v>27600105646</x:v>
      </x:c>
      <x:c r="E322" s="39" t="n">
        <x:v>27600136349</x:v>
      </x:c>
      <x:c r="F322" s="39" t="n">
        <x:v>27600146812</x:v>
      </x:c>
      <x:c r="G322" s="39" t="n">
        <x:v>1</x:v>
      </x:c>
      <x:c r="H322" s="39" t="n">
        <x:v>1</x:v>
      </x:c>
      <x:c r="I322" s="39" t="n">
        <x:v>1</x:v>
      </x:c>
      <x:c r="J322" s="40" t="n">
        <x:f>B322/1000000000</x:f>
        <x:v>27.6</x:v>
      </x:c>
      <x:c r="K322" s="41" t="n">
        <x:f>IF(C322&lt;0,NA(),(F322-B322)/1000000)</x:f>
        <x:v>0.146812</x:v>
      </x:c>
      <x:c r="L322" s="39" t="n">
        <x:f>IF(C322&lt;0,1,IF(OR(G322=0,H322=0,I322=0,F322-B322&gt;100000000),1,0))</x:f>
        <x:v>0</x:v>
      </x:c>
      <x:c r="M322" s="39" t="n">
        <x:f>IF(C322&lt;0,1,0)</x:f>
        <x:v>0</x:v>
      </x:c>
      <x:c r="N322" s="1"/>
      <x:c r="O322" s="1"/>
      <x:c r="P322" s="1"/>
      <x:c r="Q322" s="1"/>
      <x:c r="R322" s="1"/>
    </x:row>
    <x:row r="323" ht="22" customHeight="1">
      <x:c r="A323" s="39" t="n">
        <x:v>277</x:v>
      </x:c>
      <x:c r="B323" s="39" t="n">
        <x:v>27700000000</x:v>
      </x:c>
      <x:c r="C323" s="39" t="n">
        <x:v>27700052653</x:v>
      </x:c>
      <x:c r="D323" s="39" t="n">
        <x:v>27700061505</x:v>
      </x:c>
      <x:c r="E323" s="39" t="n">
        <x:v>27700071912</x:v>
      </x:c>
      <x:c r="F323" s="39" t="n">
        <x:v>27700081208</x:v>
      </x:c>
      <x:c r="G323" s="39" t="n">
        <x:v>1</x:v>
      </x:c>
      <x:c r="H323" s="39" t="n">
        <x:v>1</x:v>
      </x:c>
      <x:c r="I323" s="39" t="n">
        <x:v>1</x:v>
      </x:c>
      <x:c r="J323" s="40" t="n">
        <x:f>B323/1000000000</x:f>
        <x:v>27.7</x:v>
      </x:c>
      <x:c r="K323" s="41" t="n">
        <x:f>IF(C323&lt;0,NA(),(F323-B323)/1000000)</x:f>
        <x:v>0.081208</x:v>
      </x:c>
      <x:c r="L323" s="39" t="n">
        <x:f>IF(C323&lt;0,1,IF(OR(G323=0,H323=0,I323=0,F323-B323&gt;100000000),1,0))</x:f>
        <x:v>0</x:v>
      </x:c>
      <x:c r="M323" s="39" t="n">
        <x:f>IF(C323&lt;0,1,0)</x:f>
        <x:v>0</x:v>
      </x:c>
      <x:c r="N323" s="1"/>
      <x:c r="O323" s="1"/>
      <x:c r="P323" s="1"/>
      <x:c r="Q323" s="1"/>
      <x:c r="R323" s="1"/>
    </x:row>
    <x:row r="324" ht="22" customHeight="1">
      <x:c r="A324" s="39" t="n">
        <x:v>278</x:v>
      </x:c>
      <x:c r="B324" s="39" t="n">
        <x:v>27800000000</x:v>
      </x:c>
      <x:c r="C324" s="39" t="n">
        <x:v>27800052954</x:v>
      </x:c>
      <x:c r="D324" s="39" t="n">
        <x:v>27800059750</x:v>
      </x:c>
      <x:c r="E324" s="39" t="n">
        <x:v>27800067806</x:v>
      </x:c>
      <x:c r="F324" s="39" t="n">
        <x:v>27800077176</x:v>
      </x:c>
      <x:c r="G324" s="39" t="n">
        <x:v>1</x:v>
      </x:c>
      <x:c r="H324" s="39" t="n">
        <x:v>1</x:v>
      </x:c>
      <x:c r="I324" s="39" t="n">
        <x:v>1</x:v>
      </x:c>
      <x:c r="J324" s="40" t="n">
        <x:f>B324/1000000000</x:f>
        <x:v>27.8</x:v>
      </x:c>
      <x:c r="K324" s="41" t="n">
        <x:f>IF(C324&lt;0,NA(),(F324-B324)/1000000)</x:f>
        <x:v>0.077176</x:v>
      </x:c>
      <x:c r="L324" s="39" t="n">
        <x:f>IF(C324&lt;0,1,IF(OR(G324=0,H324=0,I324=0,F324-B324&gt;100000000),1,0))</x:f>
        <x:v>0</x:v>
      </x:c>
      <x:c r="M324" s="39" t="n">
        <x:f>IF(C324&lt;0,1,0)</x:f>
        <x:v>0</x:v>
      </x:c>
      <x:c r="N324" s="1"/>
      <x:c r="O324" s="1"/>
      <x:c r="P324" s="1"/>
      <x:c r="Q324" s="1"/>
      <x:c r="R324" s="1"/>
    </x:row>
    <x:row r="325" ht="22" customHeight="1">
      <x:c r="A325" s="39" t="n">
        <x:v>279</x:v>
      </x:c>
      <x:c r="B325" s="39" t="n">
        <x:v>27900000000</x:v>
      </x:c>
      <x:c r="C325" s="39" t="n">
        <x:v>27900052069</x:v>
      </x:c>
      <x:c r="D325" s="39" t="n">
        <x:v>27900063494</x:v>
      </x:c>
      <x:c r="E325" s="39" t="n">
        <x:v>27900077364</x:v>
      </x:c>
      <x:c r="F325" s="39" t="n">
        <x:v>27900087216</x:v>
      </x:c>
      <x:c r="G325" s="39" t="n">
        <x:v>1</x:v>
      </x:c>
      <x:c r="H325" s="39" t="n">
        <x:v>1</x:v>
      </x:c>
      <x:c r="I325" s="39" t="n">
        <x:v>1</x:v>
      </x:c>
      <x:c r="J325" s="40" t="n">
        <x:f>B325/1000000000</x:f>
        <x:v>27.9</x:v>
      </x:c>
      <x:c r="K325" s="41" t="n">
        <x:f>IF(C325&lt;0,NA(),(F325-B325)/1000000)</x:f>
        <x:v>0.087216</x:v>
      </x:c>
      <x:c r="L325" s="39" t="n">
        <x:f>IF(C325&lt;0,1,IF(OR(G325=0,H325=0,I325=0,F325-B325&gt;100000000),1,0))</x:f>
        <x:v>0</x:v>
      </x:c>
      <x:c r="M325" s="39" t="n">
        <x:f>IF(C325&lt;0,1,0)</x:f>
        <x:v>0</x:v>
      </x:c>
      <x:c r="N325" s="1"/>
      <x:c r="O325" s="1"/>
      <x:c r="P325" s="1"/>
      <x:c r="Q325" s="1"/>
      <x:c r="R325" s="1"/>
    </x:row>
    <x:row r="326" ht="22" customHeight="1">
      <x:c r="A326" s="39" t="n">
        <x:v>280</x:v>
      </x:c>
      <x:c r="B326" s="39" t="n">
        <x:v>28000000000</x:v>
      </x:c>
      <x:c r="C326" s="39" t="n">
        <x:v>28000054482</x:v>
      </x:c>
      <x:c r="D326" s="39" t="n">
        <x:v>28000064963</x:v>
      </x:c>
      <x:c r="E326" s="39" t="n">
        <x:v>28000075963</x:v>
      </x:c>
      <x:c r="F326" s="39" t="n">
        <x:v>28000085499</x:v>
      </x:c>
      <x:c r="G326" s="39" t="n">
        <x:v>1</x:v>
      </x:c>
      <x:c r="H326" s="39" t="n">
        <x:v>1</x:v>
      </x:c>
      <x:c r="I326" s="39" t="n">
        <x:v>1</x:v>
      </x:c>
      <x:c r="J326" s="40" t="n">
        <x:f>B326/1000000000</x:f>
        <x:v>28</x:v>
      </x:c>
      <x:c r="K326" s="41" t="n">
        <x:f>IF(C326&lt;0,NA(),(F326-B326)/1000000)</x:f>
        <x:v>0.085499</x:v>
      </x:c>
      <x:c r="L326" s="39" t="n">
        <x:f>IF(C326&lt;0,1,IF(OR(G326=0,H326=0,I326=0,F326-B326&gt;100000000),1,0))</x:f>
        <x:v>0</x:v>
      </x:c>
      <x:c r="M326" s="39" t="n">
        <x:f>IF(C326&lt;0,1,0)</x:f>
        <x:v>0</x:v>
      </x:c>
      <x:c r="N326" s="1"/>
      <x:c r="O326" s="1"/>
      <x:c r="P326" s="1"/>
      <x:c r="Q326" s="1"/>
      <x:c r="R326" s="1"/>
    </x:row>
    <x:row r="327" ht="22" customHeight="1">
      <x:c r="A327" s="39" t="n">
        <x:v>281</x:v>
      </x:c>
      <x:c r="B327" s="39" t="n">
        <x:v>28100000000</x:v>
      </x:c>
      <x:c r="C327" s="39" t="n">
        <x:v>28100051117</x:v>
      </x:c>
      <x:c r="D327" s="39" t="n">
        <x:v>28100058395</x:v>
      </x:c>
      <x:c r="E327" s="39" t="n">
        <x:v>28100066265</x:v>
      </x:c>
      <x:c r="F327" s="39" t="n">
        <x:v>28100075579</x:v>
      </x:c>
      <x:c r="G327" s="39" t="n">
        <x:v>1</x:v>
      </x:c>
      <x:c r="H327" s="39" t="n">
        <x:v>1</x:v>
      </x:c>
      <x:c r="I327" s="39" t="n">
        <x:v>1</x:v>
      </x:c>
      <x:c r="J327" s="40" t="n">
        <x:f>B327/1000000000</x:f>
        <x:v>28.1</x:v>
      </x:c>
      <x:c r="K327" s="41" t="n">
        <x:f>IF(C327&lt;0,NA(),(F327-B327)/1000000)</x:f>
        <x:v>0.075579</x:v>
      </x:c>
      <x:c r="L327" s="39" t="n">
        <x:f>IF(C327&lt;0,1,IF(OR(G327=0,H327=0,I327=0,F327-B327&gt;100000000),1,0))</x:f>
        <x:v>0</x:v>
      </x:c>
      <x:c r="M327" s="39" t="n">
        <x:f>IF(C327&lt;0,1,0)</x:f>
        <x:v>0</x:v>
      </x:c>
      <x:c r="N327" s="1"/>
      <x:c r="O327" s="1"/>
      <x:c r="P327" s="1"/>
      <x:c r="Q327" s="1"/>
      <x:c r="R327" s="1"/>
    </x:row>
    <x:row r="328" ht="22" customHeight="1">
      <x:c r="A328" s="39" t="n">
        <x:v>282</x:v>
      </x:c>
      <x:c r="B328" s="39" t="n">
        <x:v>28200000000</x:v>
      </x:c>
      <x:c r="C328" s="39" t="n">
        <x:v>28200059493</x:v>
      </x:c>
      <x:c r="D328" s="39" t="n">
        <x:v>28200093436</x:v>
      </x:c>
      <x:c r="E328" s="39" t="n">
        <x:v>28200124232</x:v>
      </x:c>
      <x:c r="F328" s="39" t="n">
        <x:v>28200134991</x:v>
      </x:c>
      <x:c r="G328" s="39" t="n">
        <x:v>1</x:v>
      </x:c>
      <x:c r="H328" s="39" t="n">
        <x:v>1</x:v>
      </x:c>
      <x:c r="I328" s="39" t="n">
        <x:v>1</x:v>
      </x:c>
      <x:c r="J328" s="40" t="n">
        <x:f>B328/1000000000</x:f>
        <x:v>28.2</x:v>
      </x:c>
      <x:c r="K328" s="41" t="n">
        <x:f>IF(C328&lt;0,NA(),(F328-B328)/1000000)</x:f>
        <x:v>0.134991</x:v>
      </x:c>
      <x:c r="L328" s="39" t="n">
        <x:f>IF(C328&lt;0,1,IF(OR(G328=0,H328=0,I328=0,F328-B328&gt;100000000),1,0))</x:f>
        <x:v>0</x:v>
      </x:c>
      <x:c r="M328" s="39" t="n">
        <x:f>IF(C328&lt;0,1,0)</x:f>
        <x:v>0</x:v>
      </x:c>
      <x:c r="N328" s="1"/>
      <x:c r="O328" s="1"/>
      <x:c r="P328" s="1"/>
      <x:c r="Q328" s="1"/>
      <x:c r="R328" s="1"/>
    </x:row>
    <x:row r="329" ht="22" customHeight="1">
      <x:c r="A329" s="39" t="n">
        <x:v>283</x:v>
      </x:c>
      <x:c r="B329" s="39" t="n">
        <x:v>28300000000</x:v>
      </x:c>
      <x:c r="C329" s="39" t="n">
        <x:v>28300052443</x:v>
      </x:c>
      <x:c r="D329" s="39" t="n">
        <x:v>28300061480</x:v>
      </x:c>
      <x:c r="E329" s="39" t="n">
        <x:v>28300071480</x:v>
      </x:c>
      <x:c r="F329" s="39" t="n">
        <x:v>28300080998</x:v>
      </x:c>
      <x:c r="G329" s="39" t="n">
        <x:v>1</x:v>
      </x:c>
      <x:c r="H329" s="39" t="n">
        <x:v>1</x:v>
      </x:c>
      <x:c r="I329" s="39" t="n">
        <x:v>1</x:v>
      </x:c>
      <x:c r="J329" s="40" t="n">
        <x:f>B329/1000000000</x:f>
        <x:v>28.3</x:v>
      </x:c>
      <x:c r="K329" s="41" t="n">
        <x:f>IF(C329&lt;0,NA(),(F329-B329)/1000000)</x:f>
        <x:v>0.080998</x:v>
      </x:c>
      <x:c r="L329" s="39" t="n">
        <x:f>IF(C329&lt;0,1,IF(OR(G329=0,H329=0,I329=0,F329-B329&gt;100000000),1,0))</x:f>
        <x:v>0</x:v>
      </x:c>
      <x:c r="M329" s="39" t="n">
        <x:f>IF(C329&lt;0,1,0)</x:f>
        <x:v>0</x:v>
      </x:c>
      <x:c r="N329" s="1"/>
      <x:c r="O329" s="1"/>
      <x:c r="P329" s="1"/>
      <x:c r="Q329" s="1"/>
      <x:c r="R329" s="1"/>
    </x:row>
    <x:row r="330" ht="22" customHeight="1">
      <x:c r="A330" s="39" t="n">
        <x:v>284</x:v>
      </x:c>
      <x:c r="B330" s="39" t="n">
        <x:v>28400000000</x:v>
      </x:c>
      <x:c r="C330" s="39" t="n">
        <x:v>28400050949</x:v>
      </x:c>
      <x:c r="D330" s="39" t="n">
        <x:v>28400057060</x:v>
      </x:c>
      <x:c r="E330" s="39" t="n">
        <x:v>28400064671</x:v>
      </x:c>
      <x:c r="F330" s="39" t="n">
        <x:v>28400074022</x:v>
      </x:c>
      <x:c r="G330" s="39" t="n">
        <x:v>1</x:v>
      </x:c>
      <x:c r="H330" s="39" t="n">
        <x:v>1</x:v>
      </x:c>
      <x:c r="I330" s="39" t="n">
        <x:v>1</x:v>
      </x:c>
      <x:c r="J330" s="40" t="n">
        <x:f>B330/1000000000</x:f>
        <x:v>28.4</x:v>
      </x:c>
      <x:c r="K330" s="41" t="n">
        <x:f>IF(C330&lt;0,NA(),(F330-B330)/1000000)</x:f>
        <x:v>0.074022</x:v>
      </x:c>
      <x:c r="L330" s="39" t="n">
        <x:f>IF(C330&lt;0,1,IF(OR(G330=0,H330=0,I330=0,F330-B330&gt;100000000),1,0))</x:f>
        <x:v>0</x:v>
      </x:c>
      <x:c r="M330" s="39" t="n">
        <x:f>IF(C330&lt;0,1,0)</x:f>
        <x:v>0</x:v>
      </x:c>
      <x:c r="N330" s="1"/>
      <x:c r="O330" s="1"/>
      <x:c r="P330" s="1"/>
      <x:c r="Q330" s="1"/>
      <x:c r="R330" s="1"/>
    </x:row>
    <x:row r="331" ht="22" customHeight="1">
      <x:c r="A331" s="39" t="n">
        <x:v>285</x:v>
      </x:c>
      <x:c r="B331" s="39" t="n">
        <x:v>28500000000</x:v>
      </x:c>
      <x:c r="C331" s="39" t="n">
        <x:v>28500053973</x:v>
      </x:c>
      <x:c r="D331" s="39" t="n">
        <x:v>28500066769</x:v>
      </x:c>
      <x:c r="E331" s="39" t="n">
        <x:v>28500080880</x:v>
      </x:c>
      <x:c r="F331" s="39" t="n">
        <x:v>28500090324</x:v>
      </x:c>
      <x:c r="G331" s="39" t="n">
        <x:v>1</x:v>
      </x:c>
      <x:c r="H331" s="39" t="n">
        <x:v>1</x:v>
      </x:c>
      <x:c r="I331" s="39" t="n">
        <x:v>1</x:v>
      </x:c>
      <x:c r="J331" s="40" t="n">
        <x:f>B331/1000000000</x:f>
        <x:v>28.5</x:v>
      </x:c>
      <x:c r="K331" s="41" t="n">
        <x:f>IF(C331&lt;0,NA(),(F331-B331)/1000000)</x:f>
        <x:v>0.090324</x:v>
      </x:c>
      <x:c r="L331" s="39" t="n">
        <x:f>IF(C331&lt;0,1,IF(OR(G331=0,H331=0,I331=0,F331-B331&gt;100000000),1,0))</x:f>
        <x:v>0</x:v>
      </x:c>
      <x:c r="M331" s="39" t="n">
        <x:f>IF(C331&lt;0,1,0)</x:f>
        <x:v>0</x:v>
      </x:c>
      <x:c r="N331" s="1"/>
      <x:c r="O331" s="1"/>
      <x:c r="P331" s="1"/>
      <x:c r="Q331" s="1"/>
      <x:c r="R331" s="1"/>
    </x:row>
    <x:row r="332" ht="22" customHeight="1">
      <x:c r="A332" s="39" t="n">
        <x:v>286</x:v>
      </x:c>
      <x:c r="B332" s="39" t="n">
        <x:v>28600000000</x:v>
      </x:c>
      <x:c r="C332" s="39" t="n">
        <x:v>28600052534</x:v>
      </x:c>
      <x:c r="D332" s="39" t="n">
        <x:v>28600060349</x:v>
      </x:c>
      <x:c r="E332" s="39" t="n">
        <x:v>28600069201</x:v>
      </x:c>
      <x:c r="F332" s="39" t="n">
        <x:v>28600078534</x:v>
      </x:c>
      <x:c r="G332" s="39" t="n">
        <x:v>1</x:v>
      </x:c>
      <x:c r="H332" s="39" t="n">
        <x:v>1</x:v>
      </x:c>
      <x:c r="I332" s="39" t="n">
        <x:v>1</x:v>
      </x:c>
      <x:c r="J332" s="40" t="n">
        <x:f>B332/1000000000</x:f>
        <x:v>28.6</x:v>
      </x:c>
      <x:c r="K332" s="41" t="n">
        <x:f>IF(C332&lt;0,NA(),(F332-B332)/1000000)</x:f>
        <x:v>0.078534</x:v>
      </x:c>
      <x:c r="L332" s="39" t="n">
        <x:f>IF(C332&lt;0,1,IF(OR(G332=0,H332=0,I332=0,F332-B332&gt;100000000),1,0))</x:f>
        <x:v>0</x:v>
      </x:c>
      <x:c r="M332" s="39" t="n">
        <x:f>IF(C332&lt;0,1,0)</x:f>
        <x:v>0</x:v>
      </x:c>
      <x:c r="N332" s="1"/>
      <x:c r="O332" s="1"/>
      <x:c r="P332" s="1"/>
      <x:c r="Q332" s="1"/>
      <x:c r="R332" s="1"/>
    </x:row>
    <x:row r="333" ht="22" customHeight="1">
      <x:c r="A333" s="39" t="n">
        <x:v>287</x:v>
      </x:c>
      <x:c r="B333" s="39" t="n">
        <x:v>28700000000</x:v>
      </x:c>
      <x:c r="C333" s="39" t="n">
        <x:v>28700051336</x:v>
      </x:c>
      <x:c r="D333" s="39" t="n">
        <x:v>28700058484</x:v>
      </x:c>
      <x:c r="E333" s="39" t="n">
        <x:v>28700066373</x:v>
      </x:c>
      <x:c r="F333" s="39" t="n">
        <x:v>28700075669</x:v>
      </x:c>
      <x:c r="G333" s="39" t="n">
        <x:v>1</x:v>
      </x:c>
      <x:c r="H333" s="39" t="n">
        <x:v>1</x:v>
      </x:c>
      <x:c r="I333" s="39" t="n">
        <x:v>1</x:v>
      </x:c>
      <x:c r="J333" s="40" t="n">
        <x:f>B333/1000000000</x:f>
        <x:v>28.7</x:v>
      </x:c>
      <x:c r="K333" s="41" t="n">
        <x:f>IF(C333&lt;0,NA(),(F333-B333)/1000000)</x:f>
        <x:v>0.075669</x:v>
      </x:c>
      <x:c r="L333" s="39" t="n">
        <x:f>IF(C333&lt;0,1,IF(OR(G333=0,H333=0,I333=0,F333-B333&gt;100000000),1,0))</x:f>
        <x:v>0</x:v>
      </x:c>
      <x:c r="M333" s="39" t="n">
        <x:f>IF(C333&lt;0,1,0)</x:f>
        <x:v>0</x:v>
      </x:c>
      <x:c r="N333" s="1"/>
      <x:c r="O333" s="1"/>
      <x:c r="P333" s="1"/>
      <x:c r="Q333" s="1"/>
      <x:c r="R333" s="1"/>
    </x:row>
    <x:row r="334" ht="22" customHeight="1">
      <x:c r="A334" s="39" t="n">
        <x:v>288</x:v>
      </x:c>
      <x:c r="B334" s="39" t="n">
        <x:v>28800000000</x:v>
      </x:c>
      <x:c r="C334" s="39" t="n">
        <x:v>28800059712</x:v>
      </x:c>
      <x:c r="D334" s="39" t="n">
        <x:v>28800089156</x:v>
      </x:c>
      <x:c r="E334" s="39" t="n">
        <x:v>28800114118</x:v>
      </x:c>
      <x:c r="F334" s="39" t="n">
        <x:v>28800124192</x:v>
      </x:c>
      <x:c r="G334" s="39" t="n">
        <x:v>1</x:v>
      </x:c>
      <x:c r="H334" s="39" t="n">
        <x:v>1</x:v>
      </x:c>
      <x:c r="I334" s="39" t="n">
        <x:v>1</x:v>
      </x:c>
      <x:c r="J334" s="40" t="n">
        <x:f>B334/1000000000</x:f>
        <x:v>28.8</x:v>
      </x:c>
      <x:c r="K334" s="41" t="n">
        <x:f>IF(C334&lt;0,NA(),(F334-B334)/1000000)</x:f>
        <x:v>0.124192</x:v>
      </x:c>
      <x:c r="L334" s="39" t="n">
        <x:f>IF(C334&lt;0,1,IF(OR(G334=0,H334=0,I334=0,F334-B334&gt;100000000),1,0))</x:f>
        <x:v>0</x:v>
      </x:c>
      <x:c r="M334" s="39" t="n">
        <x:f>IF(C334&lt;0,1,0)</x:f>
        <x:v>0</x:v>
      </x:c>
      <x:c r="N334" s="1"/>
      <x:c r="O334" s="1"/>
      <x:c r="P334" s="1"/>
      <x:c r="Q334" s="1"/>
      <x:c r="R334" s="1"/>
    </x:row>
    <x:row r="335" ht="22" customHeight="1">
      <x:c r="A335" s="39" t="n">
        <x:v>289</x:v>
      </x:c>
      <x:c r="B335" s="39" t="n">
        <x:v>28900000000</x:v>
      </x:c>
      <x:c r="C335" s="39" t="n">
        <x:v>28900057100</x:v>
      </x:c>
      <x:c r="D335" s="39" t="n">
        <x:v>28900083747</x:v>
      </x:c>
      <x:c r="E335" s="39" t="n">
        <x:v>28900106746</x:v>
      </x:c>
      <x:c r="F335" s="39" t="n">
        <x:v>28900116968</x:v>
      </x:c>
      <x:c r="G335" s="39" t="n">
        <x:v>1</x:v>
      </x:c>
      <x:c r="H335" s="39" t="n">
        <x:v>1</x:v>
      </x:c>
      <x:c r="I335" s="39" t="n">
        <x:v>1</x:v>
      </x:c>
      <x:c r="J335" s="40" t="n">
        <x:f>B335/1000000000</x:f>
        <x:v>28.9</x:v>
      </x:c>
      <x:c r="K335" s="41" t="n">
        <x:f>IF(C335&lt;0,NA(),(F335-B335)/1000000)</x:f>
        <x:v>0.116968</x:v>
      </x:c>
      <x:c r="L335" s="39" t="n">
        <x:f>IF(C335&lt;0,1,IF(OR(G335=0,H335=0,I335=0,F335-B335&gt;100000000),1,0))</x:f>
        <x:v>0</x:v>
      </x:c>
      <x:c r="M335" s="39" t="n">
        <x:f>IF(C335&lt;0,1,0)</x:f>
        <x:v>0</x:v>
      </x:c>
      <x:c r="N335" s="1"/>
      <x:c r="O335" s="1"/>
      <x:c r="P335" s="1"/>
      <x:c r="Q335" s="1"/>
      <x:c r="R335" s="1"/>
    </x:row>
    <x:row r="336" ht="22" customHeight="1">
      <x:c r="A336" s="39" t="n">
        <x:v>290</x:v>
      </x:c>
      <x:c r="B336" s="39" t="n">
        <x:v>29000000000</x:v>
      </x:c>
      <x:c r="C336" s="39" t="n">
        <x:v>29000055265</x:v>
      </x:c>
      <x:c r="D336" s="39" t="n">
        <x:v>29000073005</x:v>
      </x:c>
      <x:c r="E336" s="39" t="n">
        <x:v>29000089671</x:v>
      </x:c>
      <x:c r="F336" s="39" t="n">
        <x:v>29000100097</x:v>
      </x:c>
      <x:c r="G336" s="39" t="n">
        <x:v>1</x:v>
      </x:c>
      <x:c r="H336" s="39" t="n">
        <x:v>1</x:v>
      </x:c>
      <x:c r="I336" s="39" t="n">
        <x:v>1</x:v>
      </x:c>
      <x:c r="J336" s="40" t="n">
        <x:f>B336/1000000000</x:f>
        <x:v>29</x:v>
      </x:c>
      <x:c r="K336" s="41" t="n">
        <x:f>IF(C336&lt;0,NA(),(F336-B336)/1000000)</x:f>
        <x:v>0.100097</x:v>
      </x:c>
      <x:c r="L336" s="39" t="n">
        <x:f>IF(C336&lt;0,1,IF(OR(G336=0,H336=0,I336=0,F336-B336&gt;100000000),1,0))</x:f>
        <x:v>0</x:v>
      </x:c>
      <x:c r="M336" s="39" t="n">
        <x:f>IF(C336&lt;0,1,0)</x:f>
        <x:v>0</x:v>
      </x:c>
      <x:c r="N336" s="1"/>
      <x:c r="O336" s="1"/>
      <x:c r="P336" s="1"/>
      <x:c r="Q336" s="1"/>
      <x:c r="R336" s="1"/>
    </x:row>
    <x:row r="337" ht="22" customHeight="1">
      <x:c r="A337" s="39" t="n">
        <x:v>291</x:v>
      </x:c>
      <x:c r="B337" s="39" t="n">
        <x:v>29100000000</x:v>
      </x:c>
      <x:c r="C337" s="39" t="n">
        <x:v>29100052245</x:v>
      </x:c>
      <x:c r="D337" s="39" t="n">
        <x:v>29100061226</x:v>
      </x:c>
      <x:c r="E337" s="39" t="n">
        <x:v>29100071059</x:v>
      </x:c>
      <x:c r="F337" s="39" t="n">
        <x:v>29100080373</x:v>
      </x:c>
      <x:c r="G337" s="39" t="n">
        <x:v>1</x:v>
      </x:c>
      <x:c r="H337" s="39" t="n">
        <x:v>1</x:v>
      </x:c>
      <x:c r="I337" s="39" t="n">
        <x:v>1</x:v>
      </x:c>
      <x:c r="J337" s="40" t="n">
        <x:f>B337/1000000000</x:f>
        <x:v>29.1</x:v>
      </x:c>
      <x:c r="K337" s="41" t="n">
        <x:f>IF(C337&lt;0,NA(),(F337-B337)/1000000)</x:f>
        <x:v>0.080373</x:v>
      </x:c>
      <x:c r="L337" s="39" t="n">
        <x:f>IF(C337&lt;0,1,IF(OR(G337=0,H337=0,I337=0,F337-B337&gt;100000000),1,0))</x:f>
        <x:v>0</x:v>
      </x:c>
      <x:c r="M337" s="39" t="n">
        <x:f>IF(C337&lt;0,1,0)</x:f>
        <x:v>0</x:v>
      </x:c>
      <x:c r="N337" s="1"/>
      <x:c r="O337" s="1"/>
      <x:c r="P337" s="1"/>
      <x:c r="Q337" s="1"/>
      <x:c r="R337" s="1"/>
    </x:row>
    <x:row r="338" ht="22" customHeight="1">
      <x:c r="A338" s="39" t="n">
        <x:v>292</x:v>
      </x:c>
      <x:c r="B338" s="39" t="n">
        <x:v>29200000000</x:v>
      </x:c>
      <x:c r="C338" s="39" t="n">
        <x:v>29200056669</x:v>
      </x:c>
      <x:c r="D338" s="39" t="n">
        <x:v>29200078835</x:v>
      </x:c>
      <x:c r="E338" s="39" t="n">
        <x:v>29200098223</x:v>
      </x:c>
      <x:c r="F338" s="39" t="n">
        <x:v>29200107815</x:v>
      </x:c>
      <x:c r="G338" s="39" t="n">
        <x:v>1</x:v>
      </x:c>
      <x:c r="H338" s="39" t="n">
        <x:v>1</x:v>
      </x:c>
      <x:c r="I338" s="39" t="n">
        <x:v>1</x:v>
      </x:c>
      <x:c r="J338" s="40" t="n">
        <x:f>B338/1000000000</x:f>
        <x:v>29.2</x:v>
      </x:c>
      <x:c r="K338" s="41" t="n">
        <x:f>IF(C338&lt;0,NA(),(F338-B338)/1000000)</x:f>
        <x:v>0.107815</x:v>
      </x:c>
      <x:c r="L338" s="39" t="n">
        <x:f>IF(C338&lt;0,1,IF(OR(G338=0,H338=0,I338=0,F338-B338&gt;100000000),1,0))</x:f>
        <x:v>0</x:v>
      </x:c>
      <x:c r="M338" s="39" t="n">
        <x:f>IF(C338&lt;0,1,0)</x:f>
        <x:v>0</x:v>
      </x:c>
      <x:c r="N338" s="1"/>
      <x:c r="O338" s="1"/>
      <x:c r="P338" s="1"/>
      <x:c r="Q338" s="1"/>
      <x:c r="R338" s="1"/>
    </x:row>
    <x:row r="339" ht="22" customHeight="1">
      <x:c r="A339" s="39" t="n">
        <x:v>293</x:v>
      </x:c>
      <x:c r="B339" s="39" t="n">
        <x:v>29300000000</x:v>
      </x:c>
      <x:c r="C339" s="39" t="n">
        <x:v>29300052000</x:v>
      </x:c>
      <x:c r="D339" s="39" t="n">
        <x:v>29300059982</x:v>
      </x:c>
      <x:c r="E339" s="39" t="n">
        <x:v>29300068592</x:v>
      </x:c>
      <x:c r="F339" s="39" t="n">
        <x:v>29300077944</x:v>
      </x:c>
      <x:c r="G339" s="39" t="n">
        <x:v>1</x:v>
      </x:c>
      <x:c r="H339" s="39" t="n">
        <x:v>1</x:v>
      </x:c>
      <x:c r="I339" s="39" t="n">
        <x:v>1</x:v>
      </x:c>
      <x:c r="J339" s="40" t="n">
        <x:f>B339/1000000000</x:f>
        <x:v>29.3</x:v>
      </x:c>
      <x:c r="K339" s="41" t="n">
        <x:f>IF(C339&lt;0,NA(),(F339-B339)/1000000)</x:f>
        <x:v>0.077944</x:v>
      </x:c>
      <x:c r="L339" s="39" t="n">
        <x:f>IF(C339&lt;0,1,IF(OR(G339=0,H339=0,I339=0,F339-B339&gt;100000000),1,0))</x:f>
        <x:v>0</x:v>
      </x:c>
      <x:c r="M339" s="39" t="n">
        <x:f>IF(C339&lt;0,1,0)</x:f>
        <x:v>0</x:v>
      </x:c>
      <x:c r="N339" s="1"/>
      <x:c r="O339" s="1"/>
      <x:c r="P339" s="1"/>
      <x:c r="Q339" s="1"/>
      <x:c r="R339" s="1"/>
    </x:row>
    <x:row r="340" ht="22" customHeight="1">
      <x:c r="A340" s="39" t="n">
        <x:v>294</x:v>
      </x:c>
      <x:c r="B340" s="39" t="n">
        <x:v>29400000000</x:v>
      </x:c>
      <x:c r="C340" s="39" t="n">
        <x:v>29400057758</x:v>
      </x:c>
      <x:c r="D340" s="39" t="n">
        <x:v>29400090701</x:v>
      </x:c>
      <x:c r="E340" s="39" t="n">
        <x:v>29400113145</x:v>
      </x:c>
      <x:c r="F340" s="39" t="n">
        <x:v>29400122885</x:v>
      </x:c>
      <x:c r="G340" s="39" t="n">
        <x:v>1</x:v>
      </x:c>
      <x:c r="H340" s="39" t="n">
        <x:v>1</x:v>
      </x:c>
      <x:c r="I340" s="39" t="n">
        <x:v>1</x:v>
      </x:c>
      <x:c r="J340" s="40" t="n">
        <x:f>B340/1000000000</x:f>
        <x:v>29.4</x:v>
      </x:c>
      <x:c r="K340" s="41" t="n">
        <x:f>IF(C340&lt;0,NA(),(F340-B340)/1000000)</x:f>
        <x:v>0.122885</x:v>
      </x:c>
      <x:c r="L340" s="39" t="n">
        <x:f>IF(C340&lt;0,1,IF(OR(G340=0,H340=0,I340=0,F340-B340&gt;100000000),1,0))</x:f>
        <x:v>0</x:v>
      </x:c>
      <x:c r="M340" s="39" t="n">
        <x:f>IF(C340&lt;0,1,0)</x:f>
        <x:v>0</x:v>
      </x:c>
      <x:c r="N340" s="1"/>
      <x:c r="O340" s="1"/>
      <x:c r="P340" s="1"/>
      <x:c r="Q340" s="1"/>
      <x:c r="R340" s="1"/>
    </x:row>
    <x:row r="341" ht="22" customHeight="1">
      <x:c r="A341" s="39" t="n">
        <x:v>295</x:v>
      </x:c>
      <x:c r="B341" s="39" t="n">
        <x:v>29500000000</x:v>
      </x:c>
      <x:c r="C341" s="39" t="n">
        <x:v>29500057737</x:v>
      </x:c>
      <x:c r="D341" s="39" t="n">
        <x:v>29500082533</x:v>
      </x:c>
      <x:c r="E341" s="39" t="n">
        <x:v>29500104014</x:v>
      </x:c>
      <x:c r="F341" s="39" t="n">
        <x:v>29500113754</x:v>
      </x:c>
      <x:c r="G341" s="39" t="n">
        <x:v>1</x:v>
      </x:c>
      <x:c r="H341" s="39" t="n">
        <x:v>1</x:v>
      </x:c>
      <x:c r="I341" s="39" t="n">
        <x:v>1</x:v>
      </x:c>
      <x:c r="J341" s="40" t="n">
        <x:f>B341/1000000000</x:f>
        <x:v>29.5</x:v>
      </x:c>
      <x:c r="K341" s="41" t="n">
        <x:f>IF(C341&lt;0,NA(),(F341-B341)/1000000)</x:f>
        <x:v>0.113754</x:v>
      </x:c>
      <x:c r="L341" s="39" t="n">
        <x:f>IF(C341&lt;0,1,IF(OR(G341=0,H341=0,I341=0,F341-B341&gt;100000000),1,0))</x:f>
        <x:v>0</x:v>
      </x:c>
      <x:c r="M341" s="39" t="n">
        <x:f>IF(C341&lt;0,1,0)</x:f>
        <x:v>0</x:v>
      </x:c>
      <x:c r="N341" s="1"/>
      <x:c r="O341" s="1"/>
      <x:c r="P341" s="1"/>
      <x:c r="Q341" s="1"/>
      <x:c r="R341" s="1"/>
    </x:row>
    <x:row r="342" ht="22" customHeight="1">
      <x:c r="A342" s="39" t="n">
        <x:v>296</x:v>
      </x:c>
      <x:c r="B342" s="39" t="n">
        <x:v>29600000000</x:v>
      </x:c>
      <x:c r="C342" s="39" t="n">
        <x:v>29600055625</x:v>
      </x:c>
      <x:c r="D342" s="39" t="n">
        <x:v>29600073291</x:v>
      </x:c>
      <x:c r="E342" s="39" t="n">
        <x:v>29600090272</x:v>
      </x:c>
      <x:c r="F342" s="39" t="n">
        <x:v>29600100197</x:v>
      </x:c>
      <x:c r="G342" s="39" t="n">
        <x:v>1</x:v>
      </x:c>
      <x:c r="H342" s="39" t="n">
        <x:v>1</x:v>
      </x:c>
      <x:c r="I342" s="39" t="n">
        <x:v>1</x:v>
      </x:c>
      <x:c r="J342" s="40" t="n">
        <x:f>B342/1000000000</x:f>
        <x:v>29.6</x:v>
      </x:c>
      <x:c r="K342" s="41" t="n">
        <x:f>IF(C342&lt;0,NA(),(F342-B342)/1000000)</x:f>
        <x:v>0.100197</x:v>
      </x:c>
      <x:c r="L342" s="39" t="n">
        <x:f>IF(C342&lt;0,1,IF(OR(G342=0,H342=0,I342=0,F342-B342&gt;100000000),1,0))</x:f>
        <x:v>0</x:v>
      </x:c>
      <x:c r="M342" s="39" t="n">
        <x:f>IF(C342&lt;0,1,0)</x:f>
        <x:v>0</x:v>
      </x:c>
      <x:c r="N342" s="1"/>
      <x:c r="O342" s="1"/>
      <x:c r="P342" s="1"/>
      <x:c r="Q342" s="1"/>
      <x:c r="R342" s="1"/>
    </x:row>
    <x:row r="343" ht="22" customHeight="1">
      <x:c r="A343" s="39" t="n">
        <x:v>297</x:v>
      </x:c>
      <x:c r="B343" s="39" t="n">
        <x:v>29700000000</x:v>
      </x:c>
      <x:c r="C343" s="39" t="n">
        <x:v>29700052864</x:v>
      </x:c>
      <x:c r="D343" s="39" t="n">
        <x:v>29700060438</x:v>
      </x:c>
      <x:c r="E343" s="39" t="n">
        <x:v>29700069271</x:v>
      </x:c>
      <x:c r="F343" s="39" t="n">
        <x:v>29700078585</x:v>
      </x:c>
      <x:c r="G343" s="39" t="n">
        <x:v>1</x:v>
      </x:c>
      <x:c r="H343" s="39" t="n">
        <x:v>1</x:v>
      </x:c>
      <x:c r="I343" s="39" t="n">
        <x:v>1</x:v>
      </x:c>
      <x:c r="J343" s="40" t="n">
        <x:f>B343/1000000000</x:f>
        <x:v>29.7</x:v>
      </x:c>
      <x:c r="K343" s="41" t="n">
        <x:f>IF(C343&lt;0,NA(),(F343-B343)/1000000)</x:f>
        <x:v>0.078585</x:v>
      </x:c>
      <x:c r="L343" s="39" t="n">
        <x:f>IF(C343&lt;0,1,IF(OR(G343=0,H343=0,I343=0,F343-B343&gt;100000000),1,0))</x:f>
        <x:v>0</x:v>
      </x:c>
      <x:c r="M343" s="39" t="n">
        <x:f>IF(C343&lt;0,1,0)</x:f>
        <x:v>0</x:v>
      </x:c>
      <x:c r="N343" s="1"/>
      <x:c r="O343" s="1"/>
      <x:c r="P343" s="1"/>
      <x:c r="Q343" s="1"/>
      <x:c r="R343" s="1"/>
    </x:row>
    <x:row r="344" ht="22" customHeight="1">
      <x:c r="A344" s="39" t="n">
        <x:v>298</x:v>
      </x:c>
      <x:c r="B344" s="39" t="n">
        <x:v>29800000000</x:v>
      </x:c>
      <x:c r="C344" s="39" t="n">
        <x:v>29800050918</x:v>
      </x:c>
      <x:c r="D344" s="39" t="n">
        <x:v>29800057121</x:v>
      </x:c>
      <x:c r="E344" s="39" t="n">
        <x:v>29800064769</x:v>
      </x:c>
      <x:c r="F344" s="39" t="n">
        <x:v>29800074065</x:v>
      </x:c>
      <x:c r="G344" s="39" t="n">
        <x:v>1</x:v>
      </x:c>
      <x:c r="H344" s="39" t="n">
        <x:v>1</x:v>
      </x:c>
      <x:c r="I344" s="39" t="n">
        <x:v>1</x:v>
      </x:c>
      <x:c r="J344" s="40" t="n">
        <x:f>B344/1000000000</x:f>
        <x:v>29.8</x:v>
      </x:c>
      <x:c r="K344" s="41" t="n">
        <x:f>IF(C344&lt;0,NA(),(F344-B344)/1000000)</x:f>
        <x:v>0.074065</x:v>
      </x:c>
      <x:c r="L344" s="39" t="n">
        <x:f>IF(C344&lt;0,1,IF(OR(G344=0,H344=0,I344=0,F344-B344&gt;100000000),1,0))</x:f>
        <x:v>0</x:v>
      </x:c>
      <x:c r="M344" s="39" t="n">
        <x:f>IF(C344&lt;0,1,0)</x:f>
        <x:v>0</x:v>
      </x:c>
      <x:c r="N344" s="1"/>
      <x:c r="O344" s="1"/>
      <x:c r="P344" s="1"/>
      <x:c r="Q344" s="1"/>
      <x:c r="R344" s="1"/>
    </x:row>
    <x:row r="345" ht="22" customHeight="1">
      <x:c r="A345" s="39" t="n">
        <x:v>299</x:v>
      </x:c>
      <x:c r="B345" s="39" t="n">
        <x:v>29900000000</x:v>
      </x:c>
      <x:c r="C345" s="39" t="n">
        <x:v>29900056517</x:v>
      </x:c>
      <x:c r="D345" s="39" t="n">
        <x:v>29900075832</x:v>
      </x:c>
      <x:c r="E345" s="39" t="n">
        <x:v>29900093998</x:v>
      </x:c>
      <x:c r="F345" s="39" t="n">
        <x:v>29900103831</x:v>
      </x:c>
      <x:c r="G345" s="39" t="n">
        <x:v>1</x:v>
      </x:c>
      <x:c r="H345" s="39" t="n">
        <x:v>1</x:v>
      </x:c>
      <x:c r="I345" s="39" t="n">
        <x:v>1</x:v>
      </x:c>
      <x:c r="J345" s="40" t="n">
        <x:f>B345/1000000000</x:f>
        <x:v>29.9</x:v>
      </x:c>
      <x:c r="K345" s="41" t="n">
        <x:f>IF(C345&lt;0,NA(),(F345-B345)/1000000)</x:f>
        <x:v>0.103831</x:v>
      </x:c>
      <x:c r="L345" s="39" t="n">
        <x:f>IF(C345&lt;0,1,IF(OR(G345=0,H345=0,I345=0,F345-B345&gt;100000000),1,0))</x:f>
        <x:v>0</x:v>
      </x:c>
      <x:c r="M345" s="39" t="n">
        <x:f>IF(C345&lt;0,1,0)</x:f>
        <x:v>0</x:v>
      </x:c>
      <x:c r="N345" s="1"/>
      <x:c r="O345" s="1"/>
      <x:c r="P345" s="1"/>
      <x:c r="Q345" s="1"/>
      <x:c r="R345" s="1"/>
    </x:row>
    <x:row r="346" ht="22" customHeight="1">
      <x:c r="A346" s="39" t="n">
        <x:v>300</x:v>
      </x:c>
      <x:c r="B346" s="39" t="n">
        <x:v>30000000000</x:v>
      </x:c>
      <x:c r="C346" s="39" t="n">
        <x:v>30000057149</x:v>
      </x:c>
      <x:c r="D346" s="39" t="n">
        <x:v>30000082537</x:v>
      </x:c>
      <x:c r="E346" s="39" t="n">
        <x:v>30000114869</x:v>
      </x:c>
      <x:c r="F346" s="39" t="n">
        <x:v>30000124869</x:v>
      </x:c>
      <x:c r="G346" s="39" t="n">
        <x:v>1</x:v>
      </x:c>
      <x:c r="H346" s="39" t="n">
        <x:v>1</x:v>
      </x:c>
      <x:c r="I346" s="39" t="n">
        <x:v>1</x:v>
      </x:c>
      <x:c r="J346" s="40" t="n">
        <x:f>B346/1000000000</x:f>
        <x:v>30</x:v>
      </x:c>
      <x:c r="K346" s="41" t="n">
        <x:f>IF(C346&lt;0,NA(),(F346-B346)/1000000)</x:f>
        <x:v>0.124869</x:v>
      </x:c>
      <x:c r="L346" s="39" t="n">
        <x:f>IF(C346&lt;0,1,IF(OR(G346=0,H346=0,I346=0,F346-B346&gt;100000000),1,0))</x:f>
        <x:v>0</x:v>
      </x:c>
      <x:c r="M346" s="39" t="n">
        <x:f>IF(C346&lt;0,1,0)</x:f>
        <x:v>0</x:v>
      </x:c>
      <x:c r="N346" s="1"/>
      <x:c r="O346" s="1"/>
      <x:c r="P346" s="1"/>
      <x:c r="Q346" s="1"/>
      <x:c r="R346" s="1"/>
    </x:row>
    <x:row r="347" ht="22" customHeight="1">
      <x:c r="A347" s="39" t="n">
        <x:v>301</x:v>
      </x:c>
      <x:c r="B347" s="39" t="n">
        <x:v>30100000000</x:v>
      </x:c>
      <x:c r="C347" s="39" t="n">
        <x:v>30100053040</x:v>
      </x:c>
      <x:c r="D347" s="39" t="n">
        <x:v>30100063336</x:v>
      </x:c>
      <x:c r="E347" s="39" t="n">
        <x:v>30100074150</x:v>
      </x:c>
      <x:c r="F347" s="39" t="n">
        <x:v>30100083520</x:v>
      </x:c>
      <x:c r="G347" s="39" t="n">
        <x:v>1</x:v>
      </x:c>
      <x:c r="H347" s="39" t="n">
        <x:v>1</x:v>
      </x:c>
      <x:c r="I347" s="39" t="n">
        <x:v>1</x:v>
      </x:c>
      <x:c r="J347" s="40" t="n">
        <x:f>B347/1000000000</x:f>
        <x:v>30.1</x:v>
      </x:c>
      <x:c r="K347" s="41" t="n">
        <x:f>IF(C347&lt;0,NA(),(F347-B347)/1000000)</x:f>
        <x:v>0.08352</x:v>
      </x:c>
      <x:c r="L347" s="39" t="n">
        <x:f>IF(C347&lt;0,1,IF(OR(G347=0,H347=0,I347=0,F347-B347&gt;100000000),1,0))</x:f>
        <x:v>0</x:v>
      </x:c>
      <x:c r="M347" s="39" t="n">
        <x:f>IF(C347&lt;0,1,0)</x:f>
        <x:v>0</x:v>
      </x:c>
      <x:c r="N347" s="1"/>
      <x:c r="O347" s="1"/>
      <x:c r="P347" s="1"/>
      <x:c r="Q347" s="1"/>
      <x:c r="R347" s="1"/>
    </x:row>
    <x:row r="348" ht="22" customHeight="1">
      <x:c r="A348" s="39" t="n">
        <x:v>302</x:v>
      </x:c>
      <x:c r="B348" s="39" t="n">
        <x:v>30200000000</x:v>
      </x:c>
      <x:c r="C348" s="39" t="n">
        <x:v>30200056245</x:v>
      </x:c>
      <x:c r="D348" s="39" t="n">
        <x:v>30200071263</x:v>
      </x:c>
      <x:c r="E348" s="39" t="n">
        <x:v>30200086188</x:v>
      </x:c>
      <x:c r="F348" s="39" t="n">
        <x:v>30200095947</x:v>
      </x:c>
      <x:c r="G348" s="39" t="n">
        <x:v>1</x:v>
      </x:c>
      <x:c r="H348" s="39" t="n">
        <x:v>1</x:v>
      </x:c>
      <x:c r="I348" s="39" t="n">
        <x:v>1</x:v>
      </x:c>
      <x:c r="J348" s="40" t="n">
        <x:f>B348/1000000000</x:f>
        <x:v>30.2</x:v>
      </x:c>
      <x:c r="K348" s="41" t="n">
        <x:f>IF(C348&lt;0,NA(),(F348-B348)/1000000)</x:f>
        <x:v>0.095947</x:v>
      </x:c>
      <x:c r="L348" s="39" t="n">
        <x:f>IF(C348&lt;0,1,IF(OR(G348=0,H348=0,I348=0,F348-B348&gt;100000000),1,0))</x:f>
        <x:v>0</x:v>
      </x:c>
      <x:c r="M348" s="39" t="n">
        <x:f>IF(C348&lt;0,1,0)</x:f>
        <x:v>0</x:v>
      </x:c>
      <x:c r="N348" s="1"/>
      <x:c r="O348" s="1"/>
      <x:c r="P348" s="1"/>
      <x:c r="Q348" s="1"/>
      <x:c r="R348" s="1"/>
    </x:row>
    <x:row r="349" ht="22" customHeight="1">
      <x:c r="A349" s="39" t="n">
        <x:v>303</x:v>
      </x:c>
      <x:c r="B349" s="39" t="n">
        <x:v>30300000000</x:v>
      </x:c>
      <x:c r="C349" s="39" t="n">
        <x:v>30300052247</x:v>
      </x:c>
      <x:c r="D349" s="39" t="n">
        <x:v>30300060524</x:v>
      </x:c>
      <x:c r="E349" s="39" t="n">
        <x:v>30300069357</x:v>
      </x:c>
      <x:c r="F349" s="39" t="n">
        <x:v>30300078746</x:v>
      </x:c>
      <x:c r="G349" s="39" t="n">
        <x:v>1</x:v>
      </x:c>
      <x:c r="H349" s="39" t="n">
        <x:v>1</x:v>
      </x:c>
      <x:c r="I349" s="39" t="n">
        <x:v>1</x:v>
      </x:c>
      <x:c r="J349" s="40" t="n">
        <x:f>B349/1000000000</x:f>
        <x:v>30.3</x:v>
      </x:c>
      <x:c r="K349" s="41" t="n">
        <x:f>IF(C349&lt;0,NA(),(F349-B349)/1000000)</x:f>
        <x:v>0.078746</x:v>
      </x:c>
      <x:c r="L349" s="39" t="n">
        <x:f>IF(C349&lt;0,1,IF(OR(G349=0,H349=0,I349=0,F349-B349&gt;100000000),1,0))</x:f>
        <x:v>0</x:v>
      </x:c>
      <x:c r="M349" s="39" t="n">
        <x:f>IF(C349&lt;0,1,0)</x:f>
        <x:v>0</x:v>
      </x:c>
      <x:c r="N349" s="1"/>
      <x:c r="O349" s="1"/>
      <x:c r="P349" s="1"/>
      <x:c r="Q349" s="1"/>
      <x:c r="R349" s="1"/>
    </x:row>
    <x:row r="350" ht="22" customHeight="1">
      <x:c r="A350" s="39" t="n">
        <x:v>304</x:v>
      </x:c>
      <x:c r="B350" s="39" t="n">
        <x:v>30400000000</x:v>
      </x:c>
      <x:c r="C350" s="39" t="n">
        <x:v>30400053656</x:v>
      </x:c>
      <x:c r="D350" s="39" t="n">
        <x:v>30400064359</x:v>
      </x:c>
      <x:c r="E350" s="39" t="n">
        <x:v>30400075451</x:v>
      </x:c>
      <x:c r="F350" s="39" t="n">
        <x:v>30400085118</x:v>
      </x:c>
      <x:c r="G350" s="39" t="n">
        <x:v>1</x:v>
      </x:c>
      <x:c r="H350" s="39" t="n">
        <x:v>1</x:v>
      </x:c>
      <x:c r="I350" s="39" t="n">
        <x:v>1</x:v>
      </x:c>
      <x:c r="J350" s="40" t="n">
        <x:f>B350/1000000000</x:f>
        <x:v>30.4</x:v>
      </x:c>
      <x:c r="K350" s="41" t="n">
        <x:f>IF(C350&lt;0,NA(),(F350-B350)/1000000)</x:f>
        <x:v>0.085118</x:v>
      </x:c>
      <x:c r="L350" s="39" t="n">
        <x:f>IF(C350&lt;0,1,IF(OR(G350=0,H350=0,I350=0,F350-B350&gt;100000000),1,0))</x:f>
        <x:v>0</x:v>
      </x:c>
      <x:c r="M350" s="39" t="n">
        <x:f>IF(C350&lt;0,1,0)</x:f>
        <x:v>0</x:v>
      </x:c>
      <x:c r="N350" s="1"/>
      <x:c r="O350" s="1"/>
      <x:c r="P350" s="1"/>
      <x:c r="Q350" s="1"/>
      <x:c r="R350" s="1"/>
    </x:row>
    <x:row r="351" ht="22" customHeight="1">
      <x:c r="A351" s="39" t="n">
        <x:v>305</x:v>
      </x:c>
      <x:c r="B351" s="39" t="n">
        <x:v>30500000000</x:v>
      </x:c>
      <x:c r="C351" s="39" t="n">
        <x:v>30500053472</x:v>
      </x:c>
      <x:c r="D351" s="39" t="n">
        <x:v>30500063805</x:v>
      </x:c>
      <x:c r="E351" s="39" t="n">
        <x:v>30500074398</x:v>
      </x:c>
      <x:c r="F351" s="39" t="n">
        <x:v>30500083860</x:v>
      </x:c>
      <x:c r="G351" s="39" t="n">
        <x:v>1</x:v>
      </x:c>
      <x:c r="H351" s="39" t="n">
        <x:v>1</x:v>
      </x:c>
      <x:c r="I351" s="39" t="n">
        <x:v>1</x:v>
      </x:c>
      <x:c r="J351" s="40" t="n">
        <x:f>B351/1000000000</x:f>
        <x:v>30.5</x:v>
      </x:c>
      <x:c r="K351" s="41" t="n">
        <x:f>IF(C351&lt;0,NA(),(F351-B351)/1000000)</x:f>
        <x:v>0.08386</x:v>
      </x:c>
      <x:c r="L351" s="39" t="n">
        <x:f>IF(C351&lt;0,1,IF(OR(G351=0,H351=0,I351=0,F351-B351&gt;100000000),1,0))</x:f>
        <x:v>0</x:v>
      </x:c>
      <x:c r="M351" s="39" t="n">
        <x:f>IF(C351&lt;0,1,0)</x:f>
        <x:v>0</x:v>
      </x:c>
      <x:c r="N351" s="1"/>
      <x:c r="O351" s="1"/>
      <x:c r="P351" s="1"/>
      <x:c r="Q351" s="1"/>
      <x:c r="R351" s="1"/>
    </x:row>
    <x:row r="352" ht="22" customHeight="1">
      <x:c r="A352" s="39" t="n">
        <x:v>306</x:v>
      </x:c>
      <x:c r="B352" s="39" t="n">
        <x:v>30600000000</x:v>
      </x:c>
      <x:c r="C352" s="39" t="n">
        <x:v>30600082251</x:v>
      </x:c>
      <x:c r="D352" s="39" t="n">
        <x:v>30600169934</x:v>
      </x:c>
      <x:c r="E352" s="39" t="n">
        <x:v>30600224006</x:v>
      </x:c>
      <x:c r="F352" s="39" t="n">
        <x:v>30600236617</x:v>
      </x:c>
      <x:c r="G352" s="39" t="n">
        <x:v>1</x:v>
      </x:c>
      <x:c r="H352" s="39" t="n">
        <x:v>1</x:v>
      </x:c>
      <x:c r="I352" s="39" t="n">
        <x:v>1</x:v>
      </x:c>
      <x:c r="J352" s="40" t="n">
        <x:f>B352/1000000000</x:f>
        <x:v>30.6</x:v>
      </x:c>
      <x:c r="K352" s="41" t="n">
        <x:f>IF(C352&lt;0,NA(),(F352-B352)/1000000)</x:f>
        <x:v>0.236617</x:v>
      </x:c>
      <x:c r="L352" s="39" t="n">
        <x:f>IF(C352&lt;0,1,IF(OR(G352=0,H352=0,I352=0,F352-B352&gt;100000000),1,0))</x:f>
        <x:v>0</x:v>
      </x:c>
      <x:c r="M352" s="39" t="n">
        <x:f>IF(C352&lt;0,1,0)</x:f>
        <x:v>0</x:v>
      </x:c>
      <x:c r="N352" s="1"/>
      <x:c r="O352" s="1"/>
      <x:c r="P352" s="1"/>
      <x:c r="Q352" s="1"/>
      <x:c r="R352" s="1"/>
    </x:row>
    <x:row r="353" ht="22" customHeight="1">
      <x:c r="A353" s="39" t="n">
        <x:v>307</x:v>
      </x:c>
      <x:c r="B353" s="39" t="n">
        <x:v>30700000000</x:v>
      </x:c>
      <x:c r="C353" s="39" t="n">
        <x:v>30700052290</x:v>
      </x:c>
      <x:c r="D353" s="39" t="n">
        <x:v>30700070494</x:v>
      </x:c>
      <x:c r="E353" s="39" t="n">
        <x:v>30700081364</x:v>
      </x:c>
      <x:c r="F353" s="39" t="n">
        <x:v>30700090863</x:v>
      </x:c>
      <x:c r="G353" s="39" t="n">
        <x:v>1</x:v>
      </x:c>
      <x:c r="H353" s="39" t="n">
        <x:v>1</x:v>
      </x:c>
      <x:c r="I353" s="39" t="n">
        <x:v>1</x:v>
      </x:c>
      <x:c r="J353" s="40" t="n">
        <x:f>B353/1000000000</x:f>
        <x:v>30.7</x:v>
      </x:c>
      <x:c r="K353" s="41" t="n">
        <x:f>IF(C353&lt;0,NA(),(F353-B353)/1000000)</x:f>
        <x:v>0.090863</x:v>
      </x:c>
      <x:c r="L353" s="39" t="n">
        <x:f>IF(C353&lt;0,1,IF(OR(G353=0,H353=0,I353=0,F353-B353&gt;100000000),1,0))</x:f>
        <x:v>0</x:v>
      </x:c>
      <x:c r="M353" s="39" t="n">
        <x:f>IF(C353&lt;0,1,0)</x:f>
        <x:v>0</x:v>
      </x:c>
      <x:c r="N353" s="1"/>
      <x:c r="O353" s="1"/>
      <x:c r="P353" s="1"/>
      <x:c r="Q353" s="1"/>
      <x:c r="R353" s="1"/>
    </x:row>
    <x:row r="354" ht="22" customHeight="1">
      <x:c r="A354" s="39" t="n">
        <x:v>308</x:v>
      </x:c>
      <x:c r="B354" s="39" t="n">
        <x:v>30800000000</x:v>
      </x:c>
      <x:c r="C354" s="39" t="n">
        <x:v>30800055311</x:v>
      </x:c>
      <x:c r="D354" s="39" t="n">
        <x:v>30800069218</x:v>
      </x:c>
      <x:c r="E354" s="39" t="n">
        <x:v>30800082328</x:v>
      </x:c>
      <x:c r="F354" s="39" t="n">
        <x:v>30800092643</x:v>
      </x:c>
      <x:c r="G354" s="39" t="n">
        <x:v>1</x:v>
      </x:c>
      <x:c r="H354" s="39" t="n">
        <x:v>1</x:v>
      </x:c>
      <x:c r="I354" s="39" t="n">
        <x:v>1</x:v>
      </x:c>
      <x:c r="J354" s="40" t="n">
        <x:f>B354/1000000000</x:f>
        <x:v>30.8</x:v>
      </x:c>
      <x:c r="K354" s="41" t="n">
        <x:f>IF(C354&lt;0,NA(),(F354-B354)/1000000)</x:f>
        <x:v>0.092643</x:v>
      </x:c>
      <x:c r="L354" s="39" t="n">
        <x:f>IF(C354&lt;0,1,IF(OR(G354=0,H354=0,I354=0,F354-B354&gt;100000000),1,0))</x:f>
        <x:v>0</x:v>
      </x:c>
      <x:c r="M354" s="39" t="n">
        <x:f>IF(C354&lt;0,1,0)</x:f>
        <x:v>0</x:v>
      </x:c>
      <x:c r="N354" s="1"/>
      <x:c r="O354" s="1"/>
      <x:c r="P354" s="1"/>
      <x:c r="Q354" s="1"/>
      <x:c r="R354" s="1"/>
    </x:row>
    <x:row r="355" ht="22" customHeight="1">
      <x:c r="A355" s="39" t="n">
        <x:v>309</x:v>
      </x:c>
      <x:c r="B355" s="39" t="n">
        <x:v>30900000000</x:v>
      </x:c>
      <x:c r="C355" s="39" t="n">
        <x:v>30900054317</x:v>
      </x:c>
      <x:c r="D355" s="39" t="n">
        <x:v>30900065669</x:v>
      </x:c>
      <x:c r="E355" s="39" t="n">
        <x:v>30900077428</x:v>
      </x:c>
      <x:c r="F355" s="39" t="n">
        <x:v>30900086946</x:v>
      </x:c>
      <x:c r="G355" s="39" t="n">
        <x:v>1</x:v>
      </x:c>
      <x:c r="H355" s="39" t="n">
        <x:v>1</x:v>
      </x:c>
      <x:c r="I355" s="39" t="n">
        <x:v>1</x:v>
      </x:c>
      <x:c r="J355" s="40" t="n">
        <x:f>B355/1000000000</x:f>
        <x:v>30.9</x:v>
      </x:c>
      <x:c r="K355" s="41" t="n">
        <x:f>IF(C355&lt;0,NA(),(F355-B355)/1000000)</x:f>
        <x:v>0.086946</x:v>
      </x:c>
      <x:c r="L355" s="39" t="n">
        <x:f>IF(C355&lt;0,1,IF(OR(G355=0,H355=0,I355=0,F355-B355&gt;100000000),1,0))</x:f>
        <x:v>0</x:v>
      </x:c>
      <x:c r="M355" s="39" t="n">
        <x:f>IF(C355&lt;0,1,0)</x:f>
        <x:v>0</x:v>
      </x:c>
      <x:c r="N355" s="1"/>
      <x:c r="O355" s="1"/>
      <x:c r="P355" s="1"/>
      <x:c r="Q355" s="1"/>
      <x:c r="R355" s="1"/>
    </x:row>
    <x:row r="356" ht="22" customHeight="1">
      <x:c r="A356" s="39" t="n">
        <x:v>310</x:v>
      </x:c>
      <x:c r="B356" s="39" t="n">
        <x:v>31000000000</x:v>
      </x:c>
      <x:c r="C356" s="39" t="n">
        <x:v>31000054093</x:v>
      </x:c>
      <x:c r="D356" s="39" t="n">
        <x:v>31000068556</x:v>
      </x:c>
      <x:c r="E356" s="39" t="n">
        <x:v>31000083074</x:v>
      </x:c>
      <x:c r="F356" s="39" t="n">
        <x:v>31000092722</x:v>
      </x:c>
      <x:c r="G356" s="39" t="n">
        <x:v>1</x:v>
      </x:c>
      <x:c r="H356" s="39" t="n">
        <x:v>1</x:v>
      </x:c>
      <x:c r="I356" s="39" t="n">
        <x:v>1</x:v>
      </x:c>
      <x:c r="J356" s="40" t="n">
        <x:f>B356/1000000000</x:f>
        <x:v>31</x:v>
      </x:c>
      <x:c r="K356" s="41" t="n">
        <x:f>IF(C356&lt;0,NA(),(F356-B356)/1000000)</x:f>
        <x:v>0.092722</x:v>
      </x:c>
      <x:c r="L356" s="39" t="n">
        <x:f>IF(C356&lt;0,1,IF(OR(G356=0,H356=0,I356=0,F356-B356&gt;100000000),1,0))</x:f>
        <x:v>0</x:v>
      </x:c>
      <x:c r="M356" s="39" t="n">
        <x:f>IF(C356&lt;0,1,0)</x:f>
        <x:v>0</x:v>
      </x:c>
      <x:c r="N356" s="1"/>
      <x:c r="O356" s="1"/>
      <x:c r="P356" s="1"/>
      <x:c r="Q356" s="1"/>
      <x:c r="R356" s="1"/>
    </x:row>
    <x:row r="357" ht="22" customHeight="1">
      <x:c r="A357" s="39" t="n">
        <x:v>311</x:v>
      </x:c>
      <x:c r="B357" s="39" t="n">
        <x:v>31100000000</x:v>
      </x:c>
      <x:c r="C357" s="39" t="n">
        <x:v>31100052813</x:v>
      </x:c>
      <x:c r="D357" s="39" t="n">
        <x:v>31100061572</x:v>
      </x:c>
      <x:c r="E357" s="39" t="n">
        <x:v>31100073794</x:v>
      </x:c>
      <x:c r="F357" s="39" t="n">
        <x:v>31100083905</x:v>
      </x:c>
      <x:c r="G357" s="39" t="n">
        <x:v>1</x:v>
      </x:c>
      <x:c r="H357" s="39" t="n">
        <x:v>1</x:v>
      </x:c>
      <x:c r="I357" s="39" t="n">
        <x:v>1</x:v>
      </x:c>
      <x:c r="J357" s="40" t="n">
        <x:f>B357/1000000000</x:f>
        <x:v>31.1</x:v>
      </x:c>
      <x:c r="K357" s="41" t="n">
        <x:f>IF(C357&lt;0,NA(),(F357-B357)/1000000)</x:f>
        <x:v>0.083905</x:v>
      </x:c>
      <x:c r="L357" s="39" t="n">
        <x:f>IF(C357&lt;0,1,IF(OR(G357=0,H357=0,I357=0,F357-B357&gt;100000000),1,0))</x:f>
        <x:v>0</x:v>
      </x:c>
      <x:c r="M357" s="39" t="n">
        <x:f>IF(C357&lt;0,1,0)</x:f>
        <x:v>0</x:v>
      </x:c>
      <x:c r="N357" s="1"/>
      <x:c r="O357" s="1"/>
      <x:c r="P357" s="1"/>
      <x:c r="Q357" s="1"/>
      <x:c r="R357" s="1"/>
    </x:row>
    <x:row r="358" ht="22" customHeight="1">
      <x:c r="A358" s="39" t="n">
        <x:v>312</x:v>
      </x:c>
      <x:c r="B358" s="39" t="n">
        <x:v>31200000000</x:v>
      </x:c>
      <x:c r="C358" s="39" t="n">
        <x:v>31200059200</x:v>
      </x:c>
      <x:c r="D358" s="39" t="n">
        <x:v>31200092143</x:v>
      </x:c>
      <x:c r="E358" s="39" t="n">
        <x:v>31200123161</x:v>
      </x:c>
      <x:c r="F358" s="39" t="n">
        <x:v>31200133698</x:v>
      </x:c>
      <x:c r="G358" s="39" t="n">
        <x:v>1</x:v>
      </x:c>
      <x:c r="H358" s="39" t="n">
        <x:v>1</x:v>
      </x:c>
      <x:c r="I358" s="39" t="n">
        <x:v>1</x:v>
      </x:c>
      <x:c r="J358" s="40" t="n">
        <x:f>B358/1000000000</x:f>
        <x:v>31.2</x:v>
      </x:c>
      <x:c r="K358" s="41" t="n">
        <x:f>IF(C358&lt;0,NA(),(F358-B358)/1000000)</x:f>
        <x:v>0.133698</x:v>
      </x:c>
      <x:c r="L358" s="39" t="n">
        <x:f>IF(C358&lt;0,1,IF(OR(G358=0,H358=0,I358=0,F358-B358&gt;100000000),1,0))</x:f>
        <x:v>0</x:v>
      </x:c>
      <x:c r="M358" s="39" t="n">
        <x:f>IF(C358&lt;0,1,0)</x:f>
        <x:v>0</x:v>
      </x:c>
      <x:c r="N358" s="1"/>
      <x:c r="O358" s="1"/>
      <x:c r="P358" s="1"/>
      <x:c r="Q358" s="1"/>
      <x:c r="R358" s="1"/>
    </x:row>
    <x:row r="359" ht="22" customHeight="1">
      <x:c r="A359" s="39" t="n">
        <x:v>313</x:v>
      </x:c>
      <x:c r="B359" s="39" t="n">
        <x:v>31300000000</x:v>
      </x:c>
      <x:c r="C359" s="39" t="n">
        <x:v>31300052939</x:v>
      </x:c>
      <x:c r="D359" s="39" t="n">
        <x:v>31300061457</x:v>
      </x:c>
      <x:c r="E359" s="39" t="n">
        <x:v>31300071272</x:v>
      </x:c>
      <x:c r="F359" s="39" t="n">
        <x:v>31300080623</x:v>
      </x:c>
      <x:c r="G359" s="39" t="n">
        <x:v>1</x:v>
      </x:c>
      <x:c r="H359" s="39" t="n">
        <x:v>1</x:v>
      </x:c>
      <x:c r="I359" s="39" t="n">
        <x:v>1</x:v>
      </x:c>
      <x:c r="J359" s="40" t="n">
        <x:f>B359/1000000000</x:f>
        <x:v>31.3</x:v>
      </x:c>
      <x:c r="K359" s="41" t="n">
        <x:f>IF(C359&lt;0,NA(),(F359-B359)/1000000)</x:f>
        <x:v>0.080623</x:v>
      </x:c>
      <x:c r="L359" s="39" t="n">
        <x:f>IF(C359&lt;0,1,IF(OR(G359=0,H359=0,I359=0,F359-B359&gt;100000000),1,0))</x:f>
        <x:v>0</x:v>
      </x:c>
      <x:c r="M359" s="39" t="n">
        <x:f>IF(C359&lt;0,1,0)</x:f>
        <x:v>0</x:v>
      </x:c>
      <x:c r="N359" s="1"/>
      <x:c r="O359" s="1"/>
      <x:c r="P359" s="1"/>
      <x:c r="Q359" s="1"/>
      <x:c r="R359" s="1"/>
    </x:row>
    <x:row r="360" ht="22" customHeight="1">
      <x:c r="A360" s="39" t="n">
        <x:v>314</x:v>
      </x:c>
      <x:c r="B360" s="39" t="n">
        <x:v>31400000000</x:v>
      </x:c>
      <x:c r="C360" s="39" t="n">
        <x:v>31400054103</x:v>
      </x:c>
      <x:c r="D360" s="39" t="n">
        <x:v>31400061529</x:v>
      </x:c>
      <x:c r="E360" s="39" t="n">
        <x:v>31400071103</x:v>
      </x:c>
      <x:c r="F360" s="39" t="n">
        <x:v>31400080843</x:v>
      </x:c>
      <x:c r="G360" s="39" t="n">
        <x:v>1</x:v>
      </x:c>
      <x:c r="H360" s="39" t="n">
        <x:v>1</x:v>
      </x:c>
      <x:c r="I360" s="39" t="n">
        <x:v>1</x:v>
      </x:c>
      <x:c r="J360" s="40" t="n">
        <x:f>B360/1000000000</x:f>
        <x:v>31.4</x:v>
      </x:c>
      <x:c r="K360" s="41" t="n">
        <x:f>IF(C360&lt;0,NA(),(F360-B360)/1000000)</x:f>
        <x:v>0.080843</x:v>
      </x:c>
      <x:c r="L360" s="39" t="n">
        <x:f>IF(C360&lt;0,1,IF(OR(G360=0,H360=0,I360=0,F360-B360&gt;100000000),1,0))</x:f>
        <x:v>0</x:v>
      </x:c>
      <x:c r="M360" s="39" t="n">
        <x:f>IF(C360&lt;0,1,0)</x:f>
        <x:v>0</x:v>
      </x:c>
      <x:c r="N360" s="1"/>
      <x:c r="O360" s="1"/>
      <x:c r="P360" s="1"/>
      <x:c r="Q360" s="1"/>
      <x:c r="R360" s="1"/>
    </x:row>
    <x:row r="361" ht="22" customHeight="1">
      <x:c r="A361" s="39" t="n">
        <x:v>315</x:v>
      </x:c>
      <x:c r="B361" s="39" t="n">
        <x:v>31500000000</x:v>
      </x:c>
      <x:c r="C361" s="39" t="n">
        <x:v>31500056064</x:v>
      </x:c>
      <x:c r="D361" s="39" t="n">
        <x:v>31500068823</x:v>
      </x:c>
      <x:c r="E361" s="39" t="n">
        <x:v>31500083675</x:v>
      </x:c>
      <x:c r="F361" s="39" t="n">
        <x:v>31500093582</x:v>
      </x:c>
      <x:c r="G361" s="39" t="n">
        <x:v>1</x:v>
      </x:c>
      <x:c r="H361" s="39" t="n">
        <x:v>1</x:v>
      </x:c>
      <x:c r="I361" s="39" t="n">
        <x:v>1</x:v>
      </x:c>
      <x:c r="J361" s="40" t="n">
        <x:f>B361/1000000000</x:f>
        <x:v>31.5</x:v>
      </x:c>
      <x:c r="K361" s="41" t="n">
        <x:f>IF(C361&lt;0,NA(),(F361-B361)/1000000)</x:f>
        <x:v>0.093582</x:v>
      </x:c>
      <x:c r="L361" s="39" t="n">
        <x:f>IF(C361&lt;0,1,IF(OR(G361=0,H361=0,I361=0,F361-B361&gt;100000000),1,0))</x:f>
        <x:v>0</x:v>
      </x:c>
      <x:c r="M361" s="39" t="n">
        <x:f>IF(C361&lt;0,1,0)</x:f>
        <x:v>0</x:v>
      </x:c>
      <x:c r="N361" s="1"/>
      <x:c r="O361" s="1"/>
      <x:c r="P361" s="1"/>
      <x:c r="Q361" s="1"/>
      <x:c r="R361" s="1"/>
    </x:row>
    <x:row r="362" ht="22" customHeight="1">
      <x:c r="A362" s="39" t="n">
        <x:v>316</x:v>
      </x:c>
      <x:c r="B362" s="39" t="n">
        <x:v>31600000000</x:v>
      </x:c>
      <x:c r="C362" s="39" t="n">
        <x:v>31600053007</x:v>
      </x:c>
      <x:c r="D362" s="39" t="n">
        <x:v>31600061470</x:v>
      </x:c>
      <x:c r="E362" s="39" t="n">
        <x:v>31600070803</x:v>
      </x:c>
      <x:c r="F362" s="39" t="n">
        <x:v>31600080210</x:v>
      </x:c>
      <x:c r="G362" s="39" t="n">
        <x:v>1</x:v>
      </x:c>
      <x:c r="H362" s="39" t="n">
        <x:v>1</x:v>
      </x:c>
      <x:c r="I362" s="39" t="n">
        <x:v>1</x:v>
      </x:c>
      <x:c r="J362" s="40" t="n">
        <x:f>B362/1000000000</x:f>
        <x:v>31.6</x:v>
      </x:c>
      <x:c r="K362" s="41" t="n">
        <x:f>IF(C362&lt;0,NA(),(F362-B362)/1000000)</x:f>
        <x:v>0.08021</x:v>
      </x:c>
      <x:c r="L362" s="39" t="n">
        <x:f>IF(C362&lt;0,1,IF(OR(G362=0,H362=0,I362=0,F362-B362&gt;100000000),1,0))</x:f>
        <x:v>0</x:v>
      </x:c>
      <x:c r="M362" s="39" t="n">
        <x:f>IF(C362&lt;0,1,0)</x:f>
        <x:v>0</x:v>
      </x:c>
      <x:c r="N362" s="1"/>
      <x:c r="O362" s="1"/>
      <x:c r="P362" s="1"/>
      <x:c r="Q362" s="1"/>
      <x:c r="R362" s="1"/>
    </x:row>
    <x:row r="363" ht="22" customHeight="1">
      <x:c r="A363" s="39" t="n">
        <x:v>317</x:v>
      </x:c>
      <x:c r="B363" s="39" t="n">
        <x:v>31700000000</x:v>
      </x:c>
      <x:c r="C363" s="39" t="n">
        <x:v>31700052431</x:v>
      </x:c>
      <x:c r="D363" s="39" t="n">
        <x:v>31700058542</x:v>
      </x:c>
      <x:c r="E363" s="39" t="n">
        <x:v>31700066264</x:v>
      </x:c>
      <x:c r="F363" s="39" t="n">
        <x:v>31700075541</x:v>
      </x:c>
      <x:c r="G363" s="39" t="n">
        <x:v>1</x:v>
      </x:c>
      <x:c r="H363" s="39" t="n">
        <x:v>1</x:v>
      </x:c>
      <x:c r="I363" s="39" t="n">
        <x:v>1</x:v>
      </x:c>
      <x:c r="J363" s="40" t="n">
        <x:f>B363/1000000000</x:f>
        <x:v>31.7</x:v>
      </x:c>
      <x:c r="K363" s="41" t="n">
        <x:f>IF(C363&lt;0,NA(),(F363-B363)/1000000)</x:f>
        <x:v>0.075541</x:v>
      </x:c>
      <x:c r="L363" s="39" t="n">
        <x:f>IF(C363&lt;0,1,IF(OR(G363=0,H363=0,I363=0,F363-B363&gt;100000000),1,0))</x:f>
        <x:v>0</x:v>
      </x:c>
      <x:c r="M363" s="39" t="n">
        <x:f>IF(C363&lt;0,1,0)</x:f>
        <x:v>0</x:v>
      </x:c>
      <x:c r="N363" s="1"/>
      <x:c r="O363" s="1"/>
      <x:c r="P363" s="1"/>
      <x:c r="Q363" s="1"/>
      <x:c r="R363" s="1"/>
    </x:row>
    <x:row r="364" ht="22" customHeight="1">
      <x:c r="A364" s="39" t="n">
        <x:v>318</x:v>
      </x:c>
      <x:c r="B364" s="39" t="n">
        <x:v>31800000000</x:v>
      </x:c>
      <x:c r="C364" s="39" t="n">
        <x:v>31800061169</x:v>
      </x:c>
      <x:c r="D364" s="39" t="n">
        <x:v>31800112316</x:v>
      </x:c>
      <x:c r="E364" s="39" t="n">
        <x:v>31800150037</x:v>
      </x:c>
      <x:c r="F364" s="39" t="n">
        <x:v>31800161092</x:v>
      </x:c>
      <x:c r="G364" s="39" t="n">
        <x:v>1</x:v>
      </x:c>
      <x:c r="H364" s="39" t="n">
        <x:v>1</x:v>
      </x:c>
      <x:c r="I364" s="39" t="n">
        <x:v>1</x:v>
      </x:c>
      <x:c r="J364" s="40" t="n">
        <x:f>B364/1000000000</x:f>
        <x:v>31.8</x:v>
      </x:c>
      <x:c r="K364" s="41" t="n">
        <x:f>IF(C364&lt;0,NA(),(F364-B364)/1000000)</x:f>
        <x:v>0.161092</x:v>
      </x:c>
      <x:c r="L364" s="39" t="n">
        <x:f>IF(C364&lt;0,1,IF(OR(G364=0,H364=0,I364=0,F364-B364&gt;100000000),1,0))</x:f>
        <x:v>0</x:v>
      </x:c>
      <x:c r="M364" s="39" t="n">
        <x:f>IF(C364&lt;0,1,0)</x:f>
        <x:v>0</x:v>
      </x:c>
      <x:c r="N364" s="1"/>
      <x:c r="O364" s="1"/>
      <x:c r="P364" s="1"/>
      <x:c r="Q364" s="1"/>
      <x:c r="R364" s="1"/>
    </x:row>
    <x:row r="365" ht="22" customHeight="1">
      <x:c r="A365" s="39" t="n">
        <x:v>319</x:v>
      </x:c>
      <x:c r="B365" s="39" t="n">
        <x:v>31900000000</x:v>
      </x:c>
      <x:c r="C365" s="39" t="n">
        <x:v>31900055134</x:v>
      </x:c>
      <x:c r="D365" s="39" t="n">
        <x:v>31900075911</x:v>
      </x:c>
      <x:c r="E365" s="39" t="n">
        <x:v>31900094374</x:v>
      </x:c>
      <x:c r="F365" s="39" t="n">
        <x:v>31900104614</x:v>
      </x:c>
      <x:c r="G365" s="39" t="n">
        <x:v>1</x:v>
      </x:c>
      <x:c r="H365" s="39" t="n">
        <x:v>1</x:v>
      </x:c>
      <x:c r="I365" s="39" t="n">
        <x:v>1</x:v>
      </x:c>
      <x:c r="J365" s="40" t="n">
        <x:f>B365/1000000000</x:f>
        <x:v>31.9</x:v>
      </x:c>
      <x:c r="K365" s="41" t="n">
        <x:f>IF(C365&lt;0,NA(),(F365-B365)/1000000)</x:f>
        <x:v>0.104614</x:v>
      </x:c>
      <x:c r="L365" s="39" t="n">
        <x:f>IF(C365&lt;0,1,IF(OR(G365=0,H365=0,I365=0,F365-B365&gt;100000000),1,0))</x:f>
        <x:v>0</x:v>
      </x:c>
      <x:c r="M365" s="39" t="n">
        <x:f>IF(C365&lt;0,1,0)</x:f>
        <x:v>0</x:v>
      </x:c>
      <x:c r="N365" s="1"/>
      <x:c r="O365" s="1"/>
      <x:c r="P365" s="1"/>
      <x:c r="Q365" s="1"/>
      <x:c r="R365" s="1"/>
    </x:row>
    <x:row r="366" ht="22" customHeight="1">
      <x:c r="A366" s="39" t="n">
        <x:v>320</x:v>
      </x:c>
      <x:c r="B366" s="39" t="n">
        <x:v>32000000000</x:v>
      </x:c>
      <x:c r="C366" s="39" t="n">
        <x:v>32000053807</x:v>
      </x:c>
      <x:c r="D366" s="39" t="n">
        <x:v>32000066418</x:v>
      </x:c>
      <x:c r="E366" s="39" t="n">
        <x:v>32000079973</x:v>
      </x:c>
      <x:c r="F366" s="39" t="n">
        <x:v>32000089547</x:v>
      </x:c>
      <x:c r="G366" s="39" t="n">
        <x:v>1</x:v>
      </x:c>
      <x:c r="H366" s="39" t="n">
        <x:v>1</x:v>
      </x:c>
      <x:c r="I366" s="39" t="n">
        <x:v>1</x:v>
      </x:c>
      <x:c r="J366" s="40" t="n">
        <x:f>B366/1000000000</x:f>
        <x:v>32</x:v>
      </x:c>
      <x:c r="K366" s="41" t="n">
        <x:f>IF(C366&lt;0,NA(),(F366-B366)/1000000)</x:f>
        <x:v>0.089547</x:v>
      </x:c>
      <x:c r="L366" s="39" t="n">
        <x:f>IF(C366&lt;0,1,IF(OR(G366=0,H366=0,I366=0,F366-B366&gt;100000000),1,0))</x:f>
        <x:v>0</x:v>
      </x:c>
      <x:c r="M366" s="39" t="n">
        <x:f>IF(C366&lt;0,1,0)</x:f>
        <x:v>0</x:v>
      </x:c>
      <x:c r="N366" s="1"/>
      <x:c r="O366" s="1"/>
      <x:c r="P366" s="1"/>
      <x:c r="Q366" s="1"/>
      <x:c r="R366" s="1"/>
    </x:row>
    <x:row r="367" ht="22" customHeight="1">
      <x:c r="A367" s="39" t="n">
        <x:v>321</x:v>
      </x:c>
      <x:c r="B367" s="39" t="n">
        <x:v>32100000000</x:v>
      </x:c>
      <x:c r="C367" s="39" t="n">
        <x:v>32100054276</x:v>
      </x:c>
      <x:c r="D367" s="39" t="n">
        <x:v>32100066720</x:v>
      </x:c>
      <x:c r="E367" s="39" t="n">
        <x:v>32100079979</x:v>
      </x:c>
      <x:c r="F367" s="39" t="n">
        <x:v>32100089645</x:v>
      </x:c>
      <x:c r="G367" s="39" t="n">
        <x:v>1</x:v>
      </x:c>
      <x:c r="H367" s="39" t="n">
        <x:v>1</x:v>
      </x:c>
      <x:c r="I367" s="39" t="n">
        <x:v>1</x:v>
      </x:c>
      <x:c r="J367" s="40" t="n">
        <x:f>B367/1000000000</x:f>
        <x:v>32.1</x:v>
      </x:c>
      <x:c r="K367" s="41" t="n">
        <x:f>IF(C367&lt;0,NA(),(F367-B367)/1000000)</x:f>
        <x:v>0.089645</x:v>
      </x:c>
      <x:c r="L367" s="39" t="n">
        <x:f>IF(C367&lt;0,1,IF(OR(G367=0,H367=0,I367=0,F367-B367&gt;100000000),1,0))</x:f>
        <x:v>0</x:v>
      </x:c>
      <x:c r="M367" s="39" t="n">
        <x:f>IF(C367&lt;0,1,0)</x:f>
        <x:v>0</x:v>
      </x:c>
      <x:c r="N367" s="1"/>
      <x:c r="O367" s="1"/>
      <x:c r="P367" s="1"/>
      <x:c r="Q367" s="1"/>
      <x:c r="R367" s="1"/>
    </x:row>
    <x:row r="368" ht="22" customHeight="1">
      <x:c r="A368" s="39" t="n">
        <x:v>322</x:v>
      </x:c>
      <x:c r="B368" s="39" t="n">
        <x:v>32200000000</x:v>
      </x:c>
      <x:c r="C368" s="39" t="n">
        <x:v>32200086763</x:v>
      </x:c>
      <x:c r="D368" s="39" t="n">
        <x:v>32200182241</x:v>
      </x:c>
      <x:c r="E368" s="39" t="n">
        <x:v>32200284628</x:v>
      </x:c>
      <x:c r="F368" s="39" t="n">
        <x:v>32200301942</x:v>
      </x:c>
      <x:c r="G368" s="39" t="n">
        <x:v>1</x:v>
      </x:c>
      <x:c r="H368" s="39" t="n">
        <x:v>1</x:v>
      </x:c>
      <x:c r="I368" s="39" t="n">
        <x:v>1</x:v>
      </x:c>
      <x:c r="J368" s="40" t="n">
        <x:f>B368/1000000000</x:f>
        <x:v>32.2</x:v>
      </x:c>
      <x:c r="K368" s="41" t="n">
        <x:f>IF(C368&lt;0,NA(),(F368-B368)/1000000)</x:f>
        <x:v>0.301942</x:v>
      </x:c>
      <x:c r="L368" s="39" t="n">
        <x:f>IF(C368&lt;0,1,IF(OR(G368=0,H368=0,I368=0,F368-B368&gt;100000000),1,0))</x:f>
        <x:v>0</x:v>
      </x:c>
      <x:c r="M368" s="39" t="n">
        <x:f>IF(C368&lt;0,1,0)</x:f>
        <x:v>0</x:v>
      </x:c>
      <x:c r="N368" s="1"/>
      <x:c r="O368" s="1"/>
      <x:c r="P368" s="1"/>
      <x:c r="Q368" s="1"/>
      <x:c r="R368" s="1"/>
    </x:row>
    <x:row r="369" ht="22" customHeight="1">
      <x:c r="A369" s="39" t="n">
        <x:v>323</x:v>
      </x:c>
      <x:c r="B369" s="39" t="n">
        <x:v>32300000000</x:v>
      </x:c>
      <x:c r="C369" s="39" t="n">
        <x:v>32300064325</x:v>
      </x:c>
      <x:c r="D369" s="39" t="n">
        <x:v>32300185914</x:v>
      </x:c>
      <x:c r="E369" s="39" t="n">
        <x:v>32300294356</x:v>
      </x:c>
      <x:c r="F369" s="39" t="n">
        <x:v>32300307374</x:v>
      </x:c>
      <x:c r="G369" s="39" t="n">
        <x:v>1</x:v>
      </x:c>
      <x:c r="H369" s="39" t="n">
        <x:v>1</x:v>
      </x:c>
      <x:c r="I369" s="39" t="n">
        <x:v>1</x:v>
      </x:c>
      <x:c r="J369" s="40" t="n">
        <x:f>B369/1000000000</x:f>
        <x:v>32.3</x:v>
      </x:c>
      <x:c r="K369" s="41" t="n">
        <x:f>IF(C369&lt;0,NA(),(F369-B369)/1000000)</x:f>
        <x:v>0.307374</x:v>
      </x:c>
      <x:c r="L369" s="39" t="n">
        <x:f>IF(C369&lt;0,1,IF(OR(G369=0,H369=0,I369=0,F369-B369&gt;100000000),1,0))</x:f>
        <x:v>0</x:v>
      </x:c>
      <x:c r="M369" s="39" t="n">
        <x:f>IF(C369&lt;0,1,0)</x:f>
        <x:v>0</x:v>
      </x:c>
      <x:c r="N369" s="1"/>
      <x:c r="O369" s="1"/>
      <x:c r="P369" s="1"/>
      <x:c r="Q369" s="1"/>
      <x:c r="R369" s="1"/>
    </x:row>
    <x:row r="370" ht="22" customHeight="1">
      <x:c r="A370" s="39" t="n">
        <x:v>324</x:v>
      </x:c>
      <x:c r="B370" s="39" t="n">
        <x:v>32400000000</x:v>
      </x:c>
      <x:c r="C370" s="39" t="n">
        <x:v>32400062757</x:v>
      </x:c>
      <x:c r="D370" s="39" t="n">
        <x:v>32400166865</x:v>
      </x:c>
      <x:c r="E370" s="39" t="n">
        <x:v>32400237586</x:v>
      </x:c>
      <x:c r="F370" s="39" t="n">
        <x:v>32400250233</x:v>
      </x:c>
      <x:c r="G370" s="39" t="n">
        <x:v>1</x:v>
      </x:c>
      <x:c r="H370" s="39" t="n">
        <x:v>1</x:v>
      </x:c>
      <x:c r="I370" s="39" t="n">
        <x:v>1</x:v>
      </x:c>
      <x:c r="J370" s="40" t="n">
        <x:f>B370/1000000000</x:f>
        <x:v>32.4</x:v>
      </x:c>
      <x:c r="K370" s="41" t="n">
        <x:f>IF(C370&lt;0,NA(),(F370-B370)/1000000)</x:f>
        <x:v>0.250233</x:v>
      </x:c>
      <x:c r="L370" s="39" t="n">
        <x:f>IF(C370&lt;0,1,IF(OR(G370=0,H370=0,I370=0,F370-B370&gt;100000000),1,0))</x:f>
        <x:v>0</x:v>
      </x:c>
      <x:c r="M370" s="39" t="n">
        <x:f>IF(C370&lt;0,1,0)</x:f>
        <x:v>0</x:v>
      </x:c>
      <x:c r="N370" s="1"/>
      <x:c r="O370" s="1"/>
      <x:c r="P370" s="1"/>
      <x:c r="Q370" s="1"/>
      <x:c r="R370" s="1"/>
    </x:row>
    <x:row r="371" ht="22" customHeight="1">
      <x:c r="A371" s="39" t="n">
        <x:v>325</x:v>
      </x:c>
      <x:c r="B371" s="39" t="n">
        <x:v>32500000000</x:v>
      </x:c>
      <x:c r="C371" s="39" t="n">
        <x:v>32500055430</x:v>
      </x:c>
      <x:c r="D371" s="39" t="n">
        <x:v>32500072503</x:v>
      </x:c>
      <x:c r="E371" s="39" t="n">
        <x:v>32500089410</x:v>
      </x:c>
      <x:c r="F371" s="39" t="n">
        <x:v>32500099095</x:v>
      </x:c>
      <x:c r="G371" s="39" t="n">
        <x:v>1</x:v>
      </x:c>
      <x:c r="H371" s="39" t="n">
        <x:v>1</x:v>
      </x:c>
      <x:c r="I371" s="39" t="n">
        <x:v>1</x:v>
      </x:c>
      <x:c r="J371" s="40" t="n">
        <x:f>B371/1000000000</x:f>
        <x:v>32.5</x:v>
      </x:c>
      <x:c r="K371" s="41" t="n">
        <x:f>IF(C371&lt;0,NA(),(F371-B371)/1000000)</x:f>
        <x:v>0.099095</x:v>
      </x:c>
      <x:c r="L371" s="39" t="n">
        <x:f>IF(C371&lt;0,1,IF(OR(G371=0,H371=0,I371=0,F371-B371&gt;100000000),1,0))</x:f>
        <x:v>0</x:v>
      </x:c>
      <x:c r="M371" s="39" t="n">
        <x:f>IF(C371&lt;0,1,0)</x:f>
        <x:v>0</x:v>
      </x:c>
      <x:c r="N371" s="1"/>
      <x:c r="O371" s="1"/>
      <x:c r="P371" s="1"/>
      <x:c r="Q371" s="1"/>
      <x:c r="R371" s="1"/>
    </x:row>
    <x:row r="372" ht="22" customHeight="1">
      <x:c r="A372" s="39" t="n">
        <x:v>326</x:v>
      </x:c>
      <x:c r="B372" s="39" t="n">
        <x:v>32600000000</x:v>
      </x:c>
      <x:c r="C372" s="39" t="n">
        <x:v>32600053640</x:v>
      </x:c>
      <x:c r="D372" s="39" t="n">
        <x:v>32600067917</x:v>
      </x:c>
      <x:c r="E372" s="39" t="n">
        <x:v>32600080713</x:v>
      </x:c>
      <x:c r="F372" s="39" t="n">
        <x:v>32600090361</x:v>
      </x:c>
      <x:c r="G372" s="39" t="n">
        <x:v>1</x:v>
      </x:c>
      <x:c r="H372" s="39" t="n">
        <x:v>1</x:v>
      </x:c>
      <x:c r="I372" s="39" t="n">
        <x:v>1</x:v>
      </x:c>
      <x:c r="J372" s="40" t="n">
        <x:f>B372/1000000000</x:f>
        <x:v>32.6</x:v>
      </x:c>
      <x:c r="K372" s="41" t="n">
        <x:f>IF(C372&lt;0,NA(),(F372-B372)/1000000)</x:f>
        <x:v>0.090361</x:v>
      </x:c>
      <x:c r="L372" s="39" t="n">
        <x:f>IF(C372&lt;0,1,IF(OR(G372=0,H372=0,I372=0,F372-B372&gt;100000000),1,0))</x:f>
        <x:v>0</x:v>
      </x:c>
      <x:c r="M372" s="39" t="n">
        <x:f>IF(C372&lt;0,1,0)</x:f>
        <x:v>0</x:v>
      </x:c>
      <x:c r="N372" s="1"/>
      <x:c r="O372" s="1"/>
      <x:c r="P372" s="1"/>
      <x:c r="Q372" s="1"/>
      <x:c r="R372" s="1"/>
    </x:row>
    <x:row r="373" ht="22" customHeight="1">
      <x:c r="A373" s="39" t="n">
        <x:v>327</x:v>
      </x:c>
      <x:c r="B373" s="39" t="n">
        <x:v>32700000000</x:v>
      </x:c>
      <x:c r="C373" s="39" t="n">
        <x:v>32700053886</x:v>
      </x:c>
      <x:c r="D373" s="39" t="n">
        <x:v>32700066312</x:v>
      </x:c>
      <x:c r="E373" s="39" t="n">
        <x:v>32700078904</x:v>
      </x:c>
      <x:c r="F373" s="39" t="n">
        <x:v>32700088367</x:v>
      </x:c>
      <x:c r="G373" s="39" t="n">
        <x:v>1</x:v>
      </x:c>
      <x:c r="H373" s="39" t="n">
        <x:v>1</x:v>
      </x:c>
      <x:c r="I373" s="39" t="n">
        <x:v>1</x:v>
      </x:c>
      <x:c r="J373" s="40" t="n">
        <x:f>B373/1000000000</x:f>
        <x:v>32.7</x:v>
      </x:c>
      <x:c r="K373" s="41" t="n">
        <x:f>IF(C373&lt;0,NA(),(F373-B373)/1000000)</x:f>
        <x:v>0.088367</x:v>
      </x:c>
      <x:c r="L373" s="39" t="n">
        <x:f>IF(C373&lt;0,1,IF(OR(G373=0,H373=0,I373=0,F373-B373&gt;100000000),1,0))</x:f>
        <x:v>0</x:v>
      </x:c>
      <x:c r="M373" s="39" t="n">
        <x:f>IF(C373&lt;0,1,0)</x:f>
        <x:v>0</x:v>
      </x:c>
      <x:c r="N373" s="1"/>
      <x:c r="O373" s="1"/>
      <x:c r="P373" s="1"/>
      <x:c r="Q373" s="1"/>
      <x:c r="R373" s="1"/>
    </x:row>
    <x:row r="374" ht="22" customHeight="1">
      <x:c r="A374" s="39" t="n">
        <x:v>328</x:v>
      </x:c>
      <x:c r="B374" s="39" t="n">
        <x:v>32800000000</x:v>
      </x:c>
      <x:c r="C374" s="39" t="n">
        <x:v>32800054985</x:v>
      </x:c>
      <x:c r="D374" s="39" t="n">
        <x:v>32800068040</x:v>
      </x:c>
      <x:c r="E374" s="39" t="n">
        <x:v>32800081614</x:v>
      </x:c>
      <x:c r="F374" s="39" t="n">
        <x:v>32800091151</x:v>
      </x:c>
      <x:c r="G374" s="39" t="n">
        <x:v>1</x:v>
      </x:c>
      <x:c r="H374" s="39" t="n">
        <x:v>1</x:v>
      </x:c>
      <x:c r="I374" s="39" t="n">
        <x:v>1</x:v>
      </x:c>
      <x:c r="J374" s="40" t="n">
        <x:f>B374/1000000000</x:f>
        <x:v>32.8</x:v>
      </x:c>
      <x:c r="K374" s="41" t="n">
        <x:f>IF(C374&lt;0,NA(),(F374-B374)/1000000)</x:f>
        <x:v>0.091151</x:v>
      </x:c>
      <x:c r="L374" s="39" t="n">
        <x:f>IF(C374&lt;0,1,IF(OR(G374=0,H374=0,I374=0,F374-B374&gt;100000000),1,0))</x:f>
        <x:v>0</x:v>
      </x:c>
      <x:c r="M374" s="39" t="n">
        <x:f>IF(C374&lt;0,1,0)</x:f>
        <x:v>0</x:v>
      </x:c>
      <x:c r="N374" s="1"/>
      <x:c r="O374" s="1"/>
      <x:c r="P374" s="1"/>
      <x:c r="Q374" s="1"/>
      <x:c r="R374" s="1"/>
    </x:row>
    <x:row r="375" ht="22" customHeight="1">
      <x:c r="A375" s="39" t="n">
        <x:v>329</x:v>
      </x:c>
      <x:c r="B375" s="39" t="n">
        <x:v>32900000000</x:v>
      </x:c>
      <x:c r="C375" s="39" t="n">
        <x:v>32900053504</x:v>
      </x:c>
      <x:c r="D375" s="39" t="n">
        <x:v>32900066263</x:v>
      </x:c>
      <x:c r="E375" s="39" t="n">
        <x:v>32900078115</x:v>
      </x:c>
      <x:c r="F375" s="39" t="n">
        <x:v>32900087652</x:v>
      </x:c>
      <x:c r="G375" s="39" t="n">
        <x:v>1</x:v>
      </x:c>
      <x:c r="H375" s="39" t="n">
        <x:v>1</x:v>
      </x:c>
      <x:c r="I375" s="39" t="n">
        <x:v>1</x:v>
      </x:c>
      <x:c r="J375" s="40" t="n">
        <x:f>B375/1000000000</x:f>
        <x:v>32.9</x:v>
      </x:c>
      <x:c r="K375" s="41" t="n">
        <x:f>IF(C375&lt;0,NA(),(F375-B375)/1000000)</x:f>
        <x:v>0.087652</x:v>
      </x:c>
      <x:c r="L375" s="39" t="n">
        <x:f>IF(C375&lt;0,1,IF(OR(G375=0,H375=0,I375=0,F375-B375&gt;100000000),1,0))</x:f>
        <x:v>0</x:v>
      </x:c>
      <x:c r="M375" s="39" t="n">
        <x:f>IF(C375&lt;0,1,0)</x:f>
        <x:v>0</x:v>
      </x:c>
      <x:c r="N375" s="1"/>
      <x:c r="O375" s="1"/>
      <x:c r="P375" s="1"/>
      <x:c r="Q375" s="1"/>
      <x:c r="R375" s="1"/>
    </x:row>
    <x:row r="376" ht="22" customHeight="1">
      <x:c r="A376" s="39" t="n">
        <x:v>330</x:v>
      </x:c>
      <x:c r="B376" s="39" t="n">
        <x:v>33000000000</x:v>
      </x:c>
      <x:c r="C376" s="39" t="n">
        <x:v>33000057975</x:v>
      </x:c>
      <x:c r="D376" s="39" t="n">
        <x:v>33000087530</x:v>
      </x:c>
      <x:c r="E376" s="39" t="n">
        <x:v>33000109937</x:v>
      </x:c>
      <x:c r="F376" s="39" t="n">
        <x:v>33000119973</x:v>
      </x:c>
      <x:c r="G376" s="39" t="n">
        <x:v>1</x:v>
      </x:c>
      <x:c r="H376" s="39" t="n">
        <x:v>1</x:v>
      </x:c>
      <x:c r="I376" s="39" t="n">
        <x:v>1</x:v>
      </x:c>
      <x:c r="J376" s="40" t="n">
        <x:f>B376/1000000000</x:f>
        <x:v>33</x:v>
      </x:c>
      <x:c r="K376" s="41" t="n">
        <x:f>IF(C376&lt;0,NA(),(F376-B376)/1000000)</x:f>
        <x:v>0.119973</x:v>
      </x:c>
      <x:c r="L376" s="39" t="n">
        <x:f>IF(C376&lt;0,1,IF(OR(G376=0,H376=0,I376=0,F376-B376&gt;100000000),1,0))</x:f>
        <x:v>0</x:v>
      </x:c>
      <x:c r="M376" s="39" t="n">
        <x:f>IF(C376&lt;0,1,0)</x:f>
        <x:v>0</x:v>
      </x:c>
      <x:c r="N376" s="1"/>
      <x:c r="O376" s="1"/>
      <x:c r="P376" s="1"/>
      <x:c r="Q376" s="1"/>
      <x:c r="R376" s="1"/>
    </x:row>
    <x:row r="377" ht="22" customHeight="1">
      <x:c r="A377" s="39" t="n">
        <x:v>331</x:v>
      </x:c>
      <x:c r="B377" s="39" t="n">
        <x:v>33100000000</x:v>
      </x:c>
      <x:c r="C377" s="39" t="n">
        <x:v>33100053576</x:v>
      </x:c>
      <x:c r="D377" s="39" t="n">
        <x:v>33100063909</x:v>
      </x:c>
      <x:c r="E377" s="39" t="n">
        <x:v>33100073816</x:v>
      </x:c>
      <x:c r="F377" s="39" t="n">
        <x:v>33100083167</x:v>
      </x:c>
      <x:c r="G377" s="39" t="n">
        <x:v>1</x:v>
      </x:c>
      <x:c r="H377" s="39" t="n">
        <x:v>1</x:v>
      </x:c>
      <x:c r="I377" s="39" t="n">
        <x:v>1</x:v>
      </x:c>
      <x:c r="J377" s="40" t="n">
        <x:f>B377/1000000000</x:f>
        <x:v>33.1</x:v>
      </x:c>
      <x:c r="K377" s="41" t="n">
        <x:f>IF(C377&lt;0,NA(),(F377-B377)/1000000)</x:f>
        <x:v>0.083167</x:v>
      </x:c>
      <x:c r="L377" s="39" t="n">
        <x:f>IF(C377&lt;0,1,IF(OR(G377=0,H377=0,I377=0,F377-B377&gt;100000000),1,0))</x:f>
        <x:v>0</x:v>
      </x:c>
      <x:c r="M377" s="39" t="n">
        <x:f>IF(C377&lt;0,1,0)</x:f>
        <x:v>0</x:v>
      </x:c>
      <x:c r="N377" s="1"/>
      <x:c r="O377" s="1"/>
      <x:c r="P377" s="1"/>
      <x:c r="Q377" s="1"/>
      <x:c r="R377" s="1"/>
    </x:row>
    <x:row r="378" ht="22" customHeight="1">
      <x:c r="A378" s="39" t="n">
        <x:v>332</x:v>
      </x:c>
      <x:c r="B378" s="39" t="n">
        <x:v>33200000000</x:v>
      </x:c>
      <x:c r="C378" s="39" t="n">
        <x:v>33200055565</x:v>
      </x:c>
      <x:c r="D378" s="39" t="n">
        <x:v>33200075157</x:v>
      </x:c>
      <x:c r="E378" s="39" t="n">
        <x:v>33200092657</x:v>
      </x:c>
      <x:c r="F378" s="39" t="n">
        <x:v>33200102693</x:v>
      </x:c>
      <x:c r="G378" s="39" t="n">
        <x:v>1</x:v>
      </x:c>
      <x:c r="H378" s="39" t="n">
        <x:v>1</x:v>
      </x:c>
      <x:c r="I378" s="39" t="n">
        <x:v>1</x:v>
      </x:c>
      <x:c r="J378" s="40" t="n">
        <x:f>B378/1000000000</x:f>
        <x:v>33.2</x:v>
      </x:c>
      <x:c r="K378" s="41" t="n">
        <x:f>IF(C378&lt;0,NA(),(F378-B378)/1000000)</x:f>
        <x:v>0.102693</x:v>
      </x:c>
      <x:c r="L378" s="39" t="n">
        <x:f>IF(C378&lt;0,1,IF(OR(G378=0,H378=0,I378=0,F378-B378&gt;100000000),1,0))</x:f>
        <x:v>0</x:v>
      </x:c>
      <x:c r="M378" s="39" t="n">
        <x:f>IF(C378&lt;0,1,0)</x:f>
        <x:v>0</x:v>
      </x:c>
      <x:c r="N378" s="1"/>
      <x:c r="O378" s="1"/>
      <x:c r="P378" s="1"/>
      <x:c r="Q378" s="1"/>
      <x:c r="R378" s="1"/>
    </x:row>
    <x:row r="379" ht="22" customHeight="1">
      <x:c r="A379" s="39" t="n">
        <x:v>333</x:v>
      </x:c>
      <x:c r="B379" s="39" t="n">
        <x:v>33300000000</x:v>
      </x:c>
      <x:c r="C379" s="39" t="n">
        <x:v>33300051666</x:v>
      </x:c>
      <x:c r="D379" s="39" t="n">
        <x:v>33300060721</x:v>
      </x:c>
      <x:c r="E379" s="39" t="n">
        <x:v>33300069869</x:v>
      </x:c>
      <x:c r="F379" s="39" t="n">
        <x:v>33300079183</x:v>
      </x:c>
      <x:c r="G379" s="39" t="n">
        <x:v>1</x:v>
      </x:c>
      <x:c r="H379" s="39" t="n">
        <x:v>1</x:v>
      </x:c>
      <x:c r="I379" s="39" t="n">
        <x:v>1</x:v>
      </x:c>
      <x:c r="J379" s="40" t="n">
        <x:f>B379/1000000000</x:f>
        <x:v>33.3</x:v>
      </x:c>
      <x:c r="K379" s="41" t="n">
        <x:f>IF(C379&lt;0,NA(),(F379-B379)/1000000)</x:f>
        <x:v>0.079183</x:v>
      </x:c>
      <x:c r="L379" s="39" t="n">
        <x:f>IF(C379&lt;0,1,IF(OR(G379=0,H379=0,I379=0,F379-B379&gt;100000000),1,0))</x:f>
        <x:v>0</x:v>
      </x:c>
      <x:c r="M379" s="39" t="n">
        <x:f>IF(C379&lt;0,1,0)</x:f>
        <x:v>0</x:v>
      </x:c>
      <x:c r="N379" s="1"/>
      <x:c r="O379" s="1"/>
      <x:c r="P379" s="1"/>
      <x:c r="Q379" s="1"/>
      <x:c r="R379" s="1"/>
    </x:row>
    <x:row r="380" ht="22" customHeight="1">
      <x:c r="A380" s="39" t="n">
        <x:v>334</x:v>
      </x:c>
      <x:c r="B380" s="39" t="n">
        <x:v>33400000000</x:v>
      </x:c>
      <x:c r="C380" s="39" t="n">
        <x:v>33400054414</x:v>
      </x:c>
      <x:c r="D380" s="39" t="n">
        <x:v>33400070025</x:v>
      </x:c>
      <x:c r="E380" s="39" t="n">
        <x:v>33400087710</x:v>
      </x:c>
      <x:c r="F380" s="39" t="n">
        <x:v>33400097191</x:v>
      </x:c>
      <x:c r="G380" s="39" t="n">
        <x:v>1</x:v>
      </x:c>
      <x:c r="H380" s="39" t="n">
        <x:v>1</x:v>
      </x:c>
      <x:c r="I380" s="39" t="n">
        <x:v>1</x:v>
      </x:c>
      <x:c r="J380" s="40" t="n">
        <x:f>B380/1000000000</x:f>
        <x:v>33.4</x:v>
      </x:c>
      <x:c r="K380" s="41" t="n">
        <x:f>IF(C380&lt;0,NA(),(F380-B380)/1000000)</x:f>
        <x:v>0.097191</x:v>
      </x:c>
      <x:c r="L380" s="39" t="n">
        <x:f>IF(C380&lt;0,1,IF(OR(G380=0,H380=0,I380=0,F380-B380&gt;100000000),1,0))</x:f>
        <x:v>0</x:v>
      </x:c>
      <x:c r="M380" s="39" t="n">
        <x:f>IF(C380&lt;0,1,0)</x:f>
        <x:v>0</x:v>
      </x:c>
      <x:c r="N380" s="1"/>
      <x:c r="O380" s="1"/>
      <x:c r="P380" s="1"/>
      <x:c r="Q380" s="1"/>
      <x:c r="R380" s="1"/>
    </x:row>
    <x:row r="381" ht="22" customHeight="1">
      <x:c r="A381" s="39" t="n">
        <x:v>335</x:v>
      </x:c>
      <x:c r="B381" s="39" t="n">
        <x:v>33500000000</x:v>
      </x:c>
      <x:c r="C381" s="39" t="n">
        <x:v>33500058200</x:v>
      </x:c>
      <x:c r="D381" s="39" t="n">
        <x:v>33500084514</x:v>
      </x:c>
      <x:c r="E381" s="39" t="n">
        <x:v>33500106902</x:v>
      </x:c>
      <x:c r="F381" s="39" t="n">
        <x:v>33500116698</x:v>
      </x:c>
      <x:c r="G381" s="39" t="n">
        <x:v>1</x:v>
      </x:c>
      <x:c r="H381" s="39" t="n">
        <x:v>1</x:v>
      </x:c>
      <x:c r="I381" s="39" t="n">
        <x:v>1</x:v>
      </x:c>
      <x:c r="J381" s="40" t="n">
        <x:f>B381/1000000000</x:f>
        <x:v>33.5</x:v>
      </x:c>
      <x:c r="K381" s="41" t="n">
        <x:f>IF(C381&lt;0,NA(),(F381-B381)/1000000)</x:f>
        <x:v>0.116698</x:v>
      </x:c>
      <x:c r="L381" s="39" t="n">
        <x:f>IF(C381&lt;0,1,IF(OR(G381=0,H381=0,I381=0,F381-B381&gt;100000000),1,0))</x:f>
        <x:v>0</x:v>
      </x:c>
      <x:c r="M381" s="39" t="n">
        <x:f>IF(C381&lt;0,1,0)</x:f>
        <x:v>0</x:v>
      </x:c>
      <x:c r="N381" s="1"/>
      <x:c r="O381" s="1"/>
      <x:c r="P381" s="1"/>
      <x:c r="Q381" s="1"/>
      <x:c r="R381" s="1"/>
    </x:row>
    <x:row r="382" ht="22" customHeight="1">
      <x:c r="A382" s="39" t="n">
        <x:v>336</x:v>
      </x:c>
      <x:c r="B382" s="39" t="n">
        <x:v>33600000000</x:v>
      </x:c>
      <x:c r="C382" s="39" t="n">
        <x:v>33600058133</x:v>
      </x:c>
      <x:c r="D382" s="39" t="n">
        <x:v>33600087040</x:v>
      </x:c>
      <x:c r="E382" s="39" t="n">
        <x:v>33600110669</x:v>
      </x:c>
      <x:c r="F382" s="39" t="n">
        <x:v>33600120724</x:v>
      </x:c>
      <x:c r="G382" s="39" t="n">
        <x:v>1</x:v>
      </x:c>
      <x:c r="H382" s="39" t="n">
        <x:v>1</x:v>
      </x:c>
      <x:c r="I382" s="39" t="n">
        <x:v>1</x:v>
      </x:c>
      <x:c r="J382" s="40" t="n">
        <x:f>B382/1000000000</x:f>
        <x:v>33.6</x:v>
      </x:c>
      <x:c r="K382" s="41" t="n">
        <x:f>IF(C382&lt;0,NA(),(F382-B382)/1000000)</x:f>
        <x:v>0.120724</x:v>
      </x:c>
      <x:c r="L382" s="39" t="n">
        <x:f>IF(C382&lt;0,1,IF(OR(G382=0,H382=0,I382=0,F382-B382&gt;100000000),1,0))</x:f>
        <x:v>0</x:v>
      </x:c>
      <x:c r="M382" s="39" t="n">
        <x:f>IF(C382&lt;0,1,0)</x:f>
        <x:v>0</x:v>
      </x:c>
      <x:c r="N382" s="1"/>
      <x:c r="O382" s="1"/>
      <x:c r="P382" s="1"/>
      <x:c r="Q382" s="1"/>
      <x:c r="R382" s="1"/>
    </x:row>
    <x:row r="383" ht="22" customHeight="1">
      <x:c r="A383" s="39" t="n">
        <x:v>337</x:v>
      </x:c>
      <x:c r="B383" s="39" t="n">
        <x:v>33700000000</x:v>
      </x:c>
      <x:c r="C383" s="39" t="n">
        <x:v>33700052345</x:v>
      </x:c>
      <x:c r="D383" s="39" t="n">
        <x:v>33700059956</x:v>
      </x:c>
      <x:c r="E383" s="39" t="n">
        <x:v>33700068641</x:v>
      </x:c>
      <x:c r="F383" s="39" t="n">
        <x:v>33700077956</x:v>
      </x:c>
      <x:c r="G383" s="39" t="n">
        <x:v>1</x:v>
      </x:c>
      <x:c r="H383" s="39" t="n">
        <x:v>1</x:v>
      </x:c>
      <x:c r="I383" s="39" t="n">
        <x:v>1</x:v>
      </x:c>
      <x:c r="J383" s="40" t="n">
        <x:f>B383/1000000000</x:f>
        <x:v>33.7</x:v>
      </x:c>
      <x:c r="K383" s="41" t="n">
        <x:f>IF(C383&lt;0,NA(),(F383-B383)/1000000)</x:f>
        <x:v>0.077956</x:v>
      </x:c>
      <x:c r="L383" s="39" t="n">
        <x:f>IF(C383&lt;0,1,IF(OR(G383=0,H383=0,I383=0,F383-B383&gt;100000000),1,0))</x:f>
        <x:v>0</x:v>
      </x:c>
      <x:c r="M383" s="39" t="n">
        <x:f>IF(C383&lt;0,1,0)</x:f>
        <x:v>0</x:v>
      </x:c>
      <x:c r="N383" s="1"/>
      <x:c r="O383" s="1"/>
      <x:c r="P383" s="1"/>
      <x:c r="Q383" s="1"/>
      <x:c r="R383" s="1"/>
    </x:row>
    <x:row r="384" ht="22" customHeight="1">
      <x:c r="A384" s="39" t="n">
        <x:v>338</x:v>
      </x:c>
      <x:c r="B384" s="39" t="n">
        <x:v>33800000000</x:v>
      </x:c>
      <x:c r="C384" s="39" t="n">
        <x:v>33800055483</x:v>
      </x:c>
      <x:c r="D384" s="39" t="n">
        <x:v>33800068242</x:v>
      </x:c>
      <x:c r="E384" s="39" t="n">
        <x:v>33800081371</x:v>
      </x:c>
      <x:c r="F384" s="39" t="n">
        <x:v>33800091000</x:v>
      </x:c>
      <x:c r="G384" s="39" t="n">
        <x:v>1</x:v>
      </x:c>
      <x:c r="H384" s="39" t="n">
        <x:v>1</x:v>
      </x:c>
      <x:c r="I384" s="39" t="n">
        <x:v>1</x:v>
      </x:c>
      <x:c r="J384" s="40" t="n">
        <x:f>B384/1000000000</x:f>
        <x:v>33.8</x:v>
      </x:c>
      <x:c r="K384" s="41" t="n">
        <x:f>IF(C384&lt;0,NA(),(F384-B384)/1000000)</x:f>
        <x:v>0.091</x:v>
      </x:c>
      <x:c r="L384" s="39" t="n">
        <x:f>IF(C384&lt;0,1,IF(OR(G384=0,H384=0,I384=0,F384-B384&gt;100000000),1,0))</x:f>
        <x:v>0</x:v>
      </x:c>
      <x:c r="M384" s="39" t="n">
        <x:f>IF(C384&lt;0,1,0)</x:f>
        <x:v>0</x:v>
      </x:c>
      <x:c r="N384" s="1"/>
      <x:c r="O384" s="1"/>
      <x:c r="P384" s="1"/>
      <x:c r="Q384" s="1"/>
      <x:c r="R384" s="1"/>
    </x:row>
    <x:row r="385" ht="22" customHeight="1">
      <x:c r="A385" s="39" t="n">
        <x:v>339</x:v>
      </x:c>
      <x:c r="B385" s="39" t="n">
        <x:v>33900000000</x:v>
      </x:c>
      <x:c r="C385" s="39" t="n">
        <x:v>33900053018</x:v>
      </x:c>
      <x:c r="D385" s="39" t="n">
        <x:v>33900060018</x:v>
      </x:c>
      <x:c r="E385" s="39" t="n">
        <x:v>33900068314</x:v>
      </x:c>
      <x:c r="F385" s="39" t="n">
        <x:v>33900077573</x:v>
      </x:c>
      <x:c r="G385" s="39" t="n">
        <x:v>1</x:v>
      </x:c>
      <x:c r="H385" s="39" t="n">
        <x:v>1</x:v>
      </x:c>
      <x:c r="I385" s="39" t="n">
        <x:v>1</x:v>
      </x:c>
      <x:c r="J385" s="40" t="n">
        <x:f>B385/1000000000</x:f>
        <x:v>33.9</x:v>
      </x:c>
      <x:c r="K385" s="41" t="n">
        <x:f>IF(C385&lt;0,NA(),(F385-B385)/1000000)</x:f>
        <x:v>0.077573</x:v>
      </x:c>
      <x:c r="L385" s="39" t="n">
        <x:f>IF(C385&lt;0,1,IF(OR(G385=0,H385=0,I385=0,F385-B385&gt;100000000),1,0))</x:f>
        <x:v>0</x:v>
      </x:c>
      <x:c r="M385" s="39" t="n">
        <x:f>IF(C385&lt;0,1,0)</x:f>
        <x:v>0</x:v>
      </x:c>
      <x:c r="N385" s="1"/>
      <x:c r="O385" s="1"/>
      <x:c r="P385" s="1"/>
      <x:c r="Q385" s="1"/>
      <x:c r="R385" s="1"/>
    </x:row>
    <x:row r="386" ht="22" customHeight="1">
      <x:c r="A386" s="39" t="n">
        <x:v>340</x:v>
      </x:c>
      <x:c r="B386" s="39" t="n">
        <x:v>34000000000</x:v>
      </x:c>
      <x:c r="C386" s="39" t="n">
        <x:v>34000054818</x:v>
      </x:c>
      <x:c r="D386" s="39" t="n">
        <x:v>34000065558</x:v>
      </x:c>
      <x:c r="E386" s="39" t="n">
        <x:v>34000077077</x:v>
      </x:c>
      <x:c r="F386" s="39" t="n">
        <x:v>34000086669</x:v>
      </x:c>
      <x:c r="G386" s="39" t="n">
        <x:v>1</x:v>
      </x:c>
      <x:c r="H386" s="39" t="n">
        <x:v>1</x:v>
      </x:c>
      <x:c r="I386" s="39" t="n">
        <x:v>1</x:v>
      </x:c>
      <x:c r="J386" s="40" t="n">
        <x:f>B386/1000000000</x:f>
        <x:v>34</x:v>
      </x:c>
      <x:c r="K386" s="41" t="n">
        <x:f>IF(C386&lt;0,NA(),(F386-B386)/1000000)</x:f>
        <x:v>0.086669</x:v>
      </x:c>
      <x:c r="L386" s="39" t="n">
        <x:f>IF(C386&lt;0,1,IF(OR(G386=0,H386=0,I386=0,F386-B386&gt;100000000),1,0))</x:f>
        <x:v>0</x:v>
      </x:c>
      <x:c r="M386" s="39" t="n">
        <x:f>IF(C386&lt;0,1,0)</x:f>
        <x:v>0</x:v>
      </x:c>
      <x:c r="N386" s="1"/>
      <x:c r="O386" s="1"/>
      <x:c r="P386" s="1"/>
      <x:c r="Q386" s="1"/>
      <x:c r="R386" s="1"/>
    </x:row>
    <x:row r="387" ht="22" customHeight="1">
      <x:c r="A387" s="39" t="n">
        <x:v>341</x:v>
      </x:c>
      <x:c r="B387" s="39" t="n">
        <x:v>34100000000</x:v>
      </x:c>
      <x:c r="C387" s="39" t="n">
        <x:v>34100053970</x:v>
      </x:c>
      <x:c r="D387" s="39" t="n">
        <x:v>34100061359</x:v>
      </x:c>
      <x:c r="E387" s="39" t="n">
        <x:v>34100069951</x:v>
      </x:c>
      <x:c r="F387" s="39" t="n">
        <x:v>34100079821</x:v>
      </x:c>
      <x:c r="G387" s="39" t="n">
        <x:v>1</x:v>
      </x:c>
      <x:c r="H387" s="39" t="n">
        <x:v>1</x:v>
      </x:c>
      <x:c r="I387" s="39" t="n">
        <x:v>1</x:v>
      </x:c>
      <x:c r="J387" s="40" t="n">
        <x:f>B387/1000000000</x:f>
        <x:v>34.1</x:v>
      </x:c>
      <x:c r="K387" s="41" t="n">
        <x:f>IF(C387&lt;0,NA(),(F387-B387)/1000000)</x:f>
        <x:v>0.079821</x:v>
      </x:c>
      <x:c r="L387" s="39" t="n">
        <x:f>IF(C387&lt;0,1,IF(OR(G387=0,H387=0,I387=0,F387-B387&gt;100000000),1,0))</x:f>
        <x:v>0</x:v>
      </x:c>
      <x:c r="M387" s="39" t="n">
        <x:f>IF(C387&lt;0,1,0)</x:f>
        <x:v>0</x:v>
      </x:c>
      <x:c r="N387" s="1"/>
      <x:c r="O387" s="1"/>
      <x:c r="P387" s="1"/>
      <x:c r="Q387" s="1"/>
      <x:c r="R387" s="1"/>
    </x:row>
    <x:row r="388" ht="22" customHeight="1">
      <x:c r="A388" s="39" t="n">
        <x:v>342</x:v>
      </x:c>
      <x:c r="B388" s="39" t="n">
        <x:v>34200000000</x:v>
      </x:c>
      <x:c r="C388" s="39" t="n">
        <x:v>34200058455</x:v>
      </x:c>
      <x:c r="D388" s="39" t="n">
        <x:v>34200089713</x:v>
      </x:c>
      <x:c r="E388" s="39" t="n">
        <x:v>34200119046</x:v>
      </x:c>
      <x:c r="F388" s="39" t="n">
        <x:v>34200129435</x:v>
      </x:c>
      <x:c r="G388" s="39" t="n">
        <x:v>1</x:v>
      </x:c>
      <x:c r="H388" s="39" t="n">
        <x:v>1</x:v>
      </x:c>
      <x:c r="I388" s="39" t="n">
        <x:v>1</x:v>
      </x:c>
      <x:c r="J388" s="40" t="n">
        <x:f>B388/1000000000</x:f>
        <x:v>34.2</x:v>
      </x:c>
      <x:c r="K388" s="41" t="n">
        <x:f>IF(C388&lt;0,NA(),(F388-B388)/1000000)</x:f>
        <x:v>0.129435</x:v>
      </x:c>
      <x:c r="L388" s="39" t="n">
        <x:f>IF(C388&lt;0,1,IF(OR(G388=0,H388=0,I388=0,F388-B388&gt;100000000),1,0))</x:f>
        <x:v>0</x:v>
      </x:c>
      <x:c r="M388" s="39" t="n">
        <x:f>IF(C388&lt;0,1,0)</x:f>
        <x:v>0</x:v>
      </x:c>
      <x:c r="N388" s="1"/>
      <x:c r="O388" s="1"/>
      <x:c r="P388" s="1"/>
      <x:c r="Q388" s="1"/>
      <x:c r="R388" s="1"/>
    </x:row>
    <x:row r="389" ht="22" customHeight="1">
      <x:c r="A389" s="39" t="n">
        <x:v>343</x:v>
      </x:c>
      <x:c r="B389" s="39" t="n">
        <x:v>34300000000</x:v>
      </x:c>
      <x:c r="C389" s="39" t="n">
        <x:v>34300052977</x:v>
      </x:c>
      <x:c r="D389" s="39" t="n">
        <x:v>34300060440</x:v>
      </x:c>
      <x:c r="E389" s="39" t="n">
        <x:v>34300068903</x:v>
      </x:c>
      <x:c r="F389" s="39" t="n">
        <x:v>34300078255</x:v>
      </x:c>
      <x:c r="G389" s="39" t="n">
        <x:v>1</x:v>
      </x:c>
      <x:c r="H389" s="39" t="n">
        <x:v>1</x:v>
      </x:c>
      <x:c r="I389" s="39" t="n">
        <x:v>1</x:v>
      </x:c>
      <x:c r="J389" s="40" t="n">
        <x:f>B389/1000000000</x:f>
        <x:v>34.3</x:v>
      </x:c>
      <x:c r="K389" s="41" t="n">
        <x:f>IF(C389&lt;0,NA(),(F389-B389)/1000000)</x:f>
        <x:v>0.078255</x:v>
      </x:c>
      <x:c r="L389" s="39" t="n">
        <x:f>IF(C389&lt;0,1,IF(OR(G389=0,H389=0,I389=0,F389-B389&gt;100000000),1,0))</x:f>
        <x:v>0</x:v>
      </x:c>
      <x:c r="M389" s="39" t="n">
        <x:f>IF(C389&lt;0,1,0)</x:f>
        <x:v>0</x:v>
      </x:c>
      <x:c r="N389" s="1"/>
      <x:c r="O389" s="1"/>
      <x:c r="P389" s="1"/>
      <x:c r="Q389" s="1"/>
      <x:c r="R389" s="1"/>
    </x:row>
    <x:row r="390" ht="22" customHeight="1">
      <x:c r="A390" s="39" t="n">
        <x:v>344</x:v>
      </x:c>
      <x:c r="B390" s="39" t="n">
        <x:v>34400000000</x:v>
      </x:c>
      <x:c r="C390" s="39" t="n">
        <x:v>34400052315</x:v>
      </x:c>
      <x:c r="D390" s="39" t="n">
        <x:v>34400059000</x:v>
      </x:c>
      <x:c r="E390" s="39" t="n">
        <x:v>34400067648</x:v>
      </x:c>
      <x:c r="F390" s="39" t="n">
        <x:v>34400077073</x:v>
      </x:c>
      <x:c r="G390" s="39" t="n">
        <x:v>1</x:v>
      </x:c>
      <x:c r="H390" s="39" t="n">
        <x:v>1</x:v>
      </x:c>
      <x:c r="I390" s="39" t="n">
        <x:v>1</x:v>
      </x:c>
      <x:c r="J390" s="40" t="n">
        <x:f>B390/1000000000</x:f>
        <x:v>34.4</x:v>
      </x:c>
      <x:c r="K390" s="41" t="n">
        <x:f>IF(C390&lt;0,NA(),(F390-B390)/1000000)</x:f>
        <x:v>0.077073</x:v>
      </x:c>
      <x:c r="L390" s="39" t="n">
        <x:f>IF(C390&lt;0,1,IF(OR(G390=0,H390=0,I390=0,F390-B390&gt;100000000),1,0))</x:f>
        <x:v>0</x:v>
      </x:c>
      <x:c r="M390" s="39" t="n">
        <x:f>IF(C390&lt;0,1,0)</x:f>
        <x:v>0</x:v>
      </x:c>
      <x:c r="N390" s="1"/>
      <x:c r="O390" s="1"/>
      <x:c r="P390" s="1"/>
      <x:c r="Q390" s="1"/>
      <x:c r="R390" s="1"/>
    </x:row>
    <x:row r="391" ht="22" customHeight="1">
      <x:c r="A391" s="39" t="n">
        <x:v>345</x:v>
      </x:c>
      <x:c r="B391" s="39" t="n">
        <x:v>34500000000</x:v>
      </x:c>
      <x:c r="C391" s="39" t="n">
        <x:v>34500055615</x:v>
      </x:c>
      <x:c r="D391" s="39" t="n">
        <x:v>34500073781</x:v>
      </x:c>
      <x:c r="E391" s="39" t="n">
        <x:v>34500093040</x:v>
      </x:c>
      <x:c r="F391" s="39" t="n">
        <x:v>34500102928</x:v>
      </x:c>
      <x:c r="G391" s="39" t="n">
        <x:v>1</x:v>
      </x:c>
      <x:c r="H391" s="39" t="n">
        <x:v>1</x:v>
      </x:c>
      <x:c r="I391" s="39" t="n">
        <x:v>1</x:v>
      </x:c>
      <x:c r="J391" s="40" t="n">
        <x:f>B391/1000000000</x:f>
        <x:v>34.5</x:v>
      </x:c>
      <x:c r="K391" s="41" t="n">
        <x:f>IF(C391&lt;0,NA(),(F391-B391)/1000000)</x:f>
        <x:v>0.102928</x:v>
      </x:c>
      <x:c r="L391" s="39" t="n">
        <x:f>IF(C391&lt;0,1,IF(OR(G391=0,H391=0,I391=0,F391-B391&gt;100000000),1,0))</x:f>
        <x:v>0</x:v>
      </x:c>
      <x:c r="M391" s="39" t="n">
        <x:f>IF(C391&lt;0,1,0)</x:f>
        <x:v>0</x:v>
      </x:c>
      <x:c r="N391" s="1"/>
      <x:c r="O391" s="1"/>
      <x:c r="P391" s="1"/>
      <x:c r="Q391" s="1"/>
      <x:c r="R391" s="1"/>
    </x:row>
    <x:row r="392" ht="22" customHeight="1">
      <x:c r="A392" s="39" t="n">
        <x:v>346</x:v>
      </x:c>
      <x:c r="B392" s="39" t="n">
        <x:v>34600000000</x:v>
      </x:c>
      <x:c r="C392" s="39" t="n">
        <x:v>34600057137</x:v>
      </x:c>
      <x:c r="D392" s="39" t="n">
        <x:v>34600073099</x:v>
      </x:c>
      <x:c r="E392" s="39" t="n">
        <x:v>34600089858</x:v>
      </x:c>
      <x:c r="F392" s="39" t="n">
        <x:v>34600099821</x:v>
      </x:c>
      <x:c r="G392" s="39" t="n">
        <x:v>1</x:v>
      </x:c>
      <x:c r="H392" s="39" t="n">
        <x:v>1</x:v>
      </x:c>
      <x:c r="I392" s="39" t="n">
        <x:v>1</x:v>
      </x:c>
      <x:c r="J392" s="40" t="n">
        <x:f>B392/1000000000</x:f>
        <x:v>34.6</x:v>
      </x:c>
      <x:c r="K392" s="41" t="n">
        <x:f>IF(C392&lt;0,NA(),(F392-B392)/1000000)</x:f>
        <x:v>0.099821</x:v>
      </x:c>
      <x:c r="L392" s="39" t="n">
        <x:f>IF(C392&lt;0,1,IF(OR(G392=0,H392=0,I392=0,F392-B392&gt;100000000),1,0))</x:f>
        <x:v>0</x:v>
      </x:c>
      <x:c r="M392" s="39" t="n">
        <x:f>IF(C392&lt;0,1,0)</x:f>
        <x:v>0</x:v>
      </x:c>
      <x:c r="N392" s="1"/>
      <x:c r="O392" s="1"/>
      <x:c r="P392" s="1"/>
      <x:c r="Q392" s="1"/>
      <x:c r="R392" s="1"/>
    </x:row>
    <x:row r="393" ht="22" customHeight="1">
      <x:c r="A393" s="39" t="n">
        <x:v>347</x:v>
      </x:c>
      <x:c r="B393" s="39" t="n">
        <x:v>34700000000</x:v>
      </x:c>
      <x:c r="C393" s="39" t="n">
        <x:v>34700052937</x:v>
      </x:c>
      <x:c r="D393" s="39" t="n">
        <x:v>34700062141</x:v>
      </x:c>
      <x:c r="E393" s="39" t="n">
        <x:v>34700071103</x:v>
      </x:c>
      <x:c r="F393" s="39" t="n">
        <x:v>34700080603</x:v>
      </x:c>
      <x:c r="G393" s="39" t="n">
        <x:v>1</x:v>
      </x:c>
      <x:c r="H393" s="39" t="n">
        <x:v>1</x:v>
      </x:c>
      <x:c r="I393" s="39" t="n">
        <x:v>1</x:v>
      </x:c>
      <x:c r="J393" s="40" t="n">
        <x:f>B393/1000000000</x:f>
        <x:v>34.7</x:v>
      </x:c>
      <x:c r="K393" s="41" t="n">
        <x:f>IF(C393&lt;0,NA(),(F393-B393)/1000000)</x:f>
        <x:v>0.080603</x:v>
      </x:c>
      <x:c r="L393" s="39" t="n">
        <x:f>IF(C393&lt;0,1,IF(OR(G393=0,H393=0,I393=0,F393-B393&gt;100000000),1,0))</x:f>
        <x:v>0</x:v>
      </x:c>
      <x:c r="M393" s="39" t="n">
        <x:f>IF(C393&lt;0,1,0)</x:f>
        <x:v>0</x:v>
      </x:c>
      <x:c r="N393" s="1"/>
      <x:c r="O393" s="1"/>
      <x:c r="P393" s="1"/>
      <x:c r="Q393" s="1"/>
      <x:c r="R393" s="1"/>
    </x:row>
    <x:row r="394" ht="22" customHeight="1">
      <x:c r="A394" s="39" t="n">
        <x:v>348</x:v>
      </x:c>
      <x:c r="B394" s="39" t="n">
        <x:v>34800000000</x:v>
      </x:c>
      <x:c r="C394" s="39" t="n">
        <x:v>34800058163</x:v>
      </x:c>
      <x:c r="D394" s="39" t="n">
        <x:v>34800092533</x:v>
      </x:c>
      <x:c r="E394" s="39" t="n">
        <x:v>34800117717</x:v>
      </x:c>
      <x:c r="F394" s="39" t="n">
        <x:v>34800127754</x:v>
      </x:c>
      <x:c r="G394" s="39" t="n">
        <x:v>1</x:v>
      </x:c>
      <x:c r="H394" s="39" t="n">
        <x:v>1</x:v>
      </x:c>
      <x:c r="I394" s="39" t="n">
        <x:v>1</x:v>
      </x:c>
      <x:c r="J394" s="40" t="n">
        <x:f>B394/1000000000</x:f>
        <x:v>34.8</x:v>
      </x:c>
      <x:c r="K394" s="41" t="n">
        <x:f>IF(C394&lt;0,NA(),(F394-B394)/1000000)</x:f>
        <x:v>0.127754</x:v>
      </x:c>
      <x:c r="L394" s="39" t="n">
        <x:f>IF(C394&lt;0,1,IF(OR(G394=0,H394=0,I394=0,F394-B394&gt;100000000),1,0))</x:f>
        <x:v>0</x:v>
      </x:c>
      <x:c r="M394" s="39" t="n">
        <x:f>IF(C394&lt;0,1,0)</x:f>
        <x:v>0</x:v>
      </x:c>
      <x:c r="N394" s="1"/>
      <x:c r="O394" s="1"/>
      <x:c r="P394" s="1"/>
      <x:c r="Q394" s="1"/>
      <x:c r="R394" s="1"/>
    </x:row>
    <x:row r="395" ht="22" customHeight="1">
      <x:c r="A395" s="39" t="n">
        <x:v>349</x:v>
      </x:c>
      <x:c r="B395" s="39" t="n">
        <x:v>34900000000</x:v>
      </x:c>
      <x:c r="C395" s="39" t="n">
        <x:v>34900054672</x:v>
      </x:c>
      <x:c r="D395" s="39" t="n">
        <x:v>34900071467</x:v>
      </x:c>
      <x:c r="E395" s="39" t="n">
        <x:v>34900085745</x:v>
      </x:c>
      <x:c r="F395" s="39" t="n">
        <x:v>34900095319</x:v>
      </x:c>
      <x:c r="G395" s="39" t="n">
        <x:v>1</x:v>
      </x:c>
      <x:c r="H395" s="39" t="n">
        <x:v>1</x:v>
      </x:c>
      <x:c r="I395" s="39" t="n">
        <x:v>1</x:v>
      </x:c>
      <x:c r="J395" s="40" t="n">
        <x:f>B395/1000000000</x:f>
        <x:v>34.9</x:v>
      </x:c>
      <x:c r="K395" s="41" t="n">
        <x:f>IF(C395&lt;0,NA(),(F395-B395)/1000000)</x:f>
        <x:v>0.095319</x:v>
      </x:c>
      <x:c r="L395" s="39" t="n">
        <x:f>IF(C395&lt;0,1,IF(OR(G395=0,H395=0,I395=0,F395-B395&gt;100000000),1,0))</x:f>
        <x:v>0</x:v>
      </x:c>
      <x:c r="M395" s="39" t="n">
        <x:f>IF(C395&lt;0,1,0)</x:f>
        <x:v>0</x:v>
      </x:c>
      <x:c r="N395" s="1"/>
      <x:c r="O395" s="1"/>
      <x:c r="P395" s="1"/>
      <x:c r="Q395" s="1"/>
      <x:c r="R395" s="1"/>
    </x:row>
    <x:row r="396" ht="22" customHeight="1">
      <x:c r="A396" s="39" t="n">
        <x:v>350</x:v>
      </x:c>
      <x:c r="B396" s="39" t="n">
        <x:v>35000000000</x:v>
      </x:c>
      <x:c r="C396" s="39" t="n">
        <x:v>35000055073</x:v>
      </x:c>
      <x:c r="D396" s="39" t="n">
        <x:v>35000067554</x:v>
      </x:c>
      <x:c r="E396" s="39" t="n">
        <x:v>35000080498</x:v>
      </x:c>
      <x:c r="F396" s="39" t="n">
        <x:v>35000090017</x:v>
      </x:c>
      <x:c r="G396" s="39" t="n">
        <x:v>1</x:v>
      </x:c>
      <x:c r="H396" s="39" t="n">
        <x:v>1</x:v>
      </x:c>
      <x:c r="I396" s="39" t="n">
        <x:v>1</x:v>
      </x:c>
      <x:c r="J396" s="40" t="n">
        <x:f>B396/1000000000</x:f>
        <x:v>35</x:v>
      </x:c>
      <x:c r="K396" s="41" t="n">
        <x:f>IF(C396&lt;0,NA(),(F396-B396)/1000000)</x:f>
        <x:v>0.090017</x:v>
      </x:c>
      <x:c r="L396" s="39" t="n">
        <x:f>IF(C396&lt;0,1,IF(OR(G396=0,H396=0,I396=0,F396-B396&gt;100000000),1,0))</x:f>
        <x:v>0</x:v>
      </x:c>
      <x:c r="M396" s="39" t="n">
        <x:f>IF(C396&lt;0,1,0)</x:f>
        <x:v>0</x:v>
      </x:c>
      <x:c r="N396" s="1"/>
      <x:c r="O396" s="1"/>
      <x:c r="P396" s="1"/>
      <x:c r="Q396" s="1"/>
      <x:c r="R396" s="1"/>
    </x:row>
    <x:row r="397" ht="22" customHeight="1">
      <x:c r="A397" s="39" t="n">
        <x:v>351</x:v>
      </x:c>
      <x:c r="B397" s="39" t="n">
        <x:v>35100000000</x:v>
      </x:c>
      <x:c r="C397" s="39" t="n">
        <x:v>35100052938</x:v>
      </x:c>
      <x:c r="D397" s="39" t="n">
        <x:v>35100060049</x:v>
      </x:c>
      <x:c r="E397" s="39" t="n">
        <x:v>35100068215</x:v>
      </x:c>
      <x:c r="F397" s="39" t="n">
        <x:v>35100077641</x:v>
      </x:c>
      <x:c r="G397" s="39" t="n">
        <x:v>1</x:v>
      </x:c>
      <x:c r="H397" s="39" t="n">
        <x:v>1</x:v>
      </x:c>
      <x:c r="I397" s="39" t="n">
        <x:v>1</x:v>
      </x:c>
      <x:c r="J397" s="40" t="n">
        <x:f>B397/1000000000</x:f>
        <x:v>35.1</x:v>
      </x:c>
      <x:c r="K397" s="41" t="n">
        <x:f>IF(C397&lt;0,NA(),(F397-B397)/1000000)</x:f>
        <x:v>0.077641</x:v>
      </x:c>
      <x:c r="L397" s="39" t="n">
        <x:f>IF(C397&lt;0,1,IF(OR(G397=0,H397=0,I397=0,F397-B397&gt;100000000),1,0))</x:f>
        <x:v>0</x:v>
      </x:c>
      <x:c r="M397" s="39" t="n">
        <x:f>IF(C397&lt;0,1,0)</x:f>
        <x:v>0</x:v>
      </x:c>
      <x:c r="N397" s="1"/>
      <x:c r="O397" s="1"/>
      <x:c r="P397" s="1"/>
      <x:c r="Q397" s="1"/>
      <x:c r="R397" s="1"/>
    </x:row>
    <x:row r="398" ht="22" customHeight="1">
      <x:c r="A398" s="39" t="n">
        <x:v>352</x:v>
      </x:c>
      <x:c r="B398" s="39" t="n">
        <x:v>35200000000</x:v>
      </x:c>
      <x:c r="C398" s="39" t="n">
        <x:v>35200055210</x:v>
      </x:c>
      <x:c r="D398" s="39" t="n">
        <x:v>35200068543</x:v>
      </x:c>
      <x:c r="E398" s="39" t="n">
        <x:v>35200081098</x:v>
      </x:c>
      <x:c r="F398" s="39" t="n">
        <x:v>35200090783</x:v>
      </x:c>
      <x:c r="G398" s="39" t="n">
        <x:v>1</x:v>
      </x:c>
      <x:c r="H398" s="39" t="n">
        <x:v>1</x:v>
      </x:c>
      <x:c r="I398" s="39" t="n">
        <x:v>1</x:v>
      </x:c>
      <x:c r="J398" s="40" t="n">
        <x:f>B398/1000000000</x:f>
        <x:v>35.2</x:v>
      </x:c>
      <x:c r="K398" s="41" t="n">
        <x:f>IF(C398&lt;0,NA(),(F398-B398)/1000000)</x:f>
        <x:v>0.090783</x:v>
      </x:c>
      <x:c r="L398" s="39" t="n">
        <x:f>IF(C398&lt;0,1,IF(OR(G398=0,H398=0,I398=0,F398-B398&gt;100000000),1,0))</x:f>
        <x:v>0</x:v>
      </x:c>
      <x:c r="M398" s="39" t="n">
        <x:f>IF(C398&lt;0,1,0)</x:f>
        <x:v>0</x:v>
      </x:c>
      <x:c r="N398" s="1"/>
      <x:c r="O398" s="1"/>
      <x:c r="P398" s="1"/>
      <x:c r="Q398" s="1"/>
      <x:c r="R398" s="1"/>
    </x:row>
    <x:row r="399" ht="22" customHeight="1">
      <x:c r="A399" s="39" t="n">
        <x:v>353</x:v>
      </x:c>
      <x:c r="B399" s="39" t="n">
        <x:v>35300000000</x:v>
      </x:c>
      <x:c r="C399" s="39" t="n">
        <x:v>35300052648</x:v>
      </x:c>
      <x:c r="D399" s="39" t="n">
        <x:v>35300059463</x:v>
      </x:c>
      <x:c r="E399" s="39" t="n">
        <x:v>35300067463</x:v>
      </x:c>
      <x:c r="F399" s="39" t="n">
        <x:v>35300076851</x:v>
      </x:c>
      <x:c r="G399" s="39" t="n">
        <x:v>1</x:v>
      </x:c>
      <x:c r="H399" s="39" t="n">
        <x:v>1</x:v>
      </x:c>
      <x:c r="I399" s="39" t="n">
        <x:v>1</x:v>
      </x:c>
      <x:c r="J399" s="40" t="n">
        <x:f>B399/1000000000</x:f>
        <x:v>35.3</x:v>
      </x:c>
      <x:c r="K399" s="41" t="n">
        <x:f>IF(C399&lt;0,NA(),(F399-B399)/1000000)</x:f>
        <x:v>0.076851</x:v>
      </x:c>
      <x:c r="L399" s="39" t="n">
        <x:f>IF(C399&lt;0,1,IF(OR(G399=0,H399=0,I399=0,F399-B399&gt;100000000),1,0))</x:f>
        <x:v>0</x:v>
      </x:c>
      <x:c r="M399" s="39" t="n">
        <x:f>IF(C399&lt;0,1,0)</x:f>
        <x:v>0</x:v>
      </x:c>
      <x:c r="N399" s="1"/>
      <x:c r="O399" s="1"/>
      <x:c r="P399" s="1"/>
      <x:c r="Q399" s="1"/>
      <x:c r="R399" s="1"/>
    </x:row>
    <x:row r="400" ht="22" customHeight="1">
      <x:c r="A400" s="39" t="n">
        <x:v>354</x:v>
      </x:c>
      <x:c r="B400" s="39" t="n">
        <x:v>35400000000</x:v>
      </x:c>
      <x:c r="C400" s="39" t="n">
        <x:v>35400058531</x:v>
      </x:c>
      <x:c r="D400" s="39" t="n">
        <x:v>35400088901</x:v>
      </x:c>
      <x:c r="E400" s="39" t="n">
        <x:v>35400112678</x:v>
      </x:c>
      <x:c r="F400" s="39" t="n">
        <x:v>35400122900</x:v>
      </x:c>
      <x:c r="G400" s="39" t="n">
        <x:v>1</x:v>
      </x:c>
      <x:c r="H400" s="39" t="n">
        <x:v>1</x:v>
      </x:c>
      <x:c r="I400" s="39" t="n">
        <x:v>1</x:v>
      </x:c>
      <x:c r="J400" s="40" t="n">
        <x:f>B400/1000000000</x:f>
        <x:v>35.4</x:v>
      </x:c>
      <x:c r="K400" s="41" t="n">
        <x:f>IF(C400&lt;0,NA(),(F400-B400)/1000000)</x:f>
        <x:v>0.1229</x:v>
      </x:c>
      <x:c r="L400" s="39" t="n">
        <x:f>IF(C400&lt;0,1,IF(OR(G400=0,H400=0,I400=0,F400-B400&gt;100000000),1,0))</x:f>
        <x:v>0</x:v>
      </x:c>
      <x:c r="M400" s="39" t="n">
        <x:f>IF(C400&lt;0,1,0)</x:f>
        <x:v>0</x:v>
      </x:c>
      <x:c r="N400" s="1"/>
      <x:c r="O400" s="1"/>
      <x:c r="P400" s="1"/>
      <x:c r="Q400" s="1"/>
      <x:c r="R400" s="1"/>
    </x:row>
    <x:row r="401" ht="22" customHeight="1">
      <x:c r="A401" s="39" t="n">
        <x:v>355</x:v>
      </x:c>
      <x:c r="B401" s="39" t="n">
        <x:v>35500000000</x:v>
      </x:c>
      <x:c r="C401" s="39" t="n">
        <x:v>35500054525</x:v>
      </x:c>
      <x:c r="D401" s="39" t="n">
        <x:v>35500067025</x:v>
      </x:c>
      <x:c r="E401" s="39" t="n">
        <x:v>35500079210</x:v>
      </x:c>
      <x:c r="F401" s="39" t="n">
        <x:v>35500088636</x:v>
      </x:c>
      <x:c r="G401" s="39" t="n">
        <x:v>1</x:v>
      </x:c>
      <x:c r="H401" s="39" t="n">
        <x:v>1</x:v>
      </x:c>
      <x:c r="I401" s="39" t="n">
        <x:v>1</x:v>
      </x:c>
      <x:c r="J401" s="40" t="n">
        <x:f>B401/1000000000</x:f>
        <x:v>35.5</x:v>
      </x:c>
      <x:c r="K401" s="41" t="n">
        <x:f>IF(C401&lt;0,NA(),(F401-B401)/1000000)</x:f>
        <x:v>0.088636</x:v>
      </x:c>
      <x:c r="L401" s="39" t="n">
        <x:f>IF(C401&lt;0,1,IF(OR(G401=0,H401=0,I401=0,F401-B401&gt;100000000),1,0))</x:f>
        <x:v>0</x:v>
      </x:c>
      <x:c r="M401" s="39" t="n">
        <x:f>IF(C401&lt;0,1,0)</x:f>
        <x:v>0</x:v>
      </x:c>
      <x:c r="N401" s="1"/>
      <x:c r="O401" s="1"/>
      <x:c r="P401" s="1"/>
      <x:c r="Q401" s="1"/>
      <x:c r="R401" s="1"/>
    </x:row>
    <x:row r="402" ht="22" customHeight="1">
      <x:c r="A402" s="39" t="n">
        <x:v>356</x:v>
      </x:c>
      <x:c r="B402" s="39" t="n">
        <x:v>35600000000</x:v>
      </x:c>
      <x:c r="C402" s="39" t="n">
        <x:v>35600053075</x:v>
      </x:c>
      <x:c r="D402" s="39" t="n">
        <x:v>35600060482</x:v>
      </x:c>
      <x:c r="E402" s="39" t="n">
        <x:v>35600069464</x:v>
      </x:c>
      <x:c r="F402" s="39" t="n">
        <x:v>35600078908</x:v>
      </x:c>
      <x:c r="G402" s="39" t="n">
        <x:v>1</x:v>
      </x:c>
      <x:c r="H402" s="39" t="n">
        <x:v>1</x:v>
      </x:c>
      <x:c r="I402" s="39" t="n">
        <x:v>1</x:v>
      </x:c>
      <x:c r="J402" s="40" t="n">
        <x:f>B402/1000000000</x:f>
        <x:v>35.6</x:v>
      </x:c>
      <x:c r="K402" s="41" t="n">
        <x:f>IF(C402&lt;0,NA(),(F402-B402)/1000000)</x:f>
        <x:v>0.078908</x:v>
      </x:c>
      <x:c r="L402" s="39" t="n">
        <x:f>IF(C402&lt;0,1,IF(OR(G402=0,H402=0,I402=0,F402-B402&gt;100000000),1,0))</x:f>
        <x:v>0</x:v>
      </x:c>
      <x:c r="M402" s="39" t="n">
        <x:f>IF(C402&lt;0,1,0)</x:f>
        <x:v>0</x:v>
      </x:c>
      <x:c r="N402" s="1"/>
      <x:c r="O402" s="1"/>
      <x:c r="P402" s="1"/>
      <x:c r="Q402" s="1"/>
      <x:c r="R402" s="1"/>
    </x:row>
    <x:row r="403" ht="22" customHeight="1">
      <x:c r="A403" s="39" t="n">
        <x:v>357</x:v>
      </x:c>
      <x:c r="B403" s="39" t="n">
        <x:v>35700000000</x:v>
      </x:c>
      <x:c r="C403" s="39" t="n">
        <x:v>35700052551</x:v>
      </x:c>
      <x:c r="D403" s="39" t="n">
        <x:v>35700058569</x:v>
      </x:c>
      <x:c r="E403" s="39" t="n">
        <x:v>35700065736</x:v>
      </x:c>
      <x:c r="F403" s="39" t="n">
        <x:v>35700074995</x:v>
      </x:c>
      <x:c r="G403" s="39" t="n">
        <x:v>1</x:v>
      </x:c>
      <x:c r="H403" s="39" t="n">
        <x:v>1</x:v>
      </x:c>
      <x:c r="I403" s="39" t="n">
        <x:v>1</x:v>
      </x:c>
      <x:c r="J403" s="40" t="n">
        <x:f>B403/1000000000</x:f>
        <x:v>35.7</x:v>
      </x:c>
      <x:c r="K403" s="41" t="n">
        <x:f>IF(C403&lt;0,NA(),(F403-B403)/1000000)</x:f>
        <x:v>0.074995</x:v>
      </x:c>
      <x:c r="L403" s="39" t="n">
        <x:f>IF(C403&lt;0,1,IF(OR(G403=0,H403=0,I403=0,F403-B403&gt;100000000),1,0))</x:f>
        <x:v>0</x:v>
      </x:c>
      <x:c r="M403" s="39" t="n">
        <x:f>IF(C403&lt;0,1,0)</x:f>
        <x:v>0</x:v>
      </x:c>
      <x:c r="N403" s="1"/>
      <x:c r="O403" s="1"/>
      <x:c r="P403" s="1"/>
      <x:c r="Q403" s="1"/>
      <x:c r="R403" s="1"/>
    </x:row>
    <x:row r="404" ht="22" customHeight="1">
      <x:c r="A404" s="39" t="n">
        <x:v>358</x:v>
      </x:c>
      <x:c r="B404" s="39" t="n">
        <x:v>35800000000</x:v>
      </x:c>
      <x:c r="C404" s="39" t="n">
        <x:v>35800053249</x:v>
      </x:c>
      <x:c r="D404" s="39" t="n">
        <x:v>35800061156</x:v>
      </x:c>
      <x:c r="E404" s="39" t="n">
        <x:v>35800069637</x:v>
      </x:c>
      <x:c r="F404" s="39" t="n">
        <x:v>35800079007</x:v>
      </x:c>
      <x:c r="G404" s="39" t="n">
        <x:v>1</x:v>
      </x:c>
      <x:c r="H404" s="39" t="n">
        <x:v>1</x:v>
      </x:c>
      <x:c r="I404" s="39" t="n">
        <x:v>1</x:v>
      </x:c>
      <x:c r="J404" s="40" t="n">
        <x:f>B404/1000000000</x:f>
        <x:v>35.8</x:v>
      </x:c>
      <x:c r="K404" s="41" t="n">
        <x:f>IF(C404&lt;0,NA(),(F404-B404)/1000000)</x:f>
        <x:v>0.079007</x:v>
      </x:c>
      <x:c r="L404" s="39" t="n">
        <x:f>IF(C404&lt;0,1,IF(OR(G404=0,H404=0,I404=0,F404-B404&gt;100000000),1,0))</x:f>
        <x:v>0</x:v>
      </x:c>
      <x:c r="M404" s="39" t="n">
        <x:f>IF(C404&lt;0,1,0)</x:f>
        <x:v>0</x:v>
      </x:c>
      <x:c r="N404" s="1"/>
      <x:c r="O404" s="1"/>
      <x:c r="P404" s="1"/>
      <x:c r="Q404" s="1"/>
      <x:c r="R404" s="1"/>
    </x:row>
    <x:row r="405" ht="22" customHeight="1">
      <x:c r="A405" s="39" t="n">
        <x:v>359</x:v>
      </x:c>
      <x:c r="B405" s="39" t="n">
        <x:v>35900000000</x:v>
      </x:c>
      <x:c r="C405" s="39" t="n">
        <x:v>35900052235</x:v>
      </x:c>
      <x:c r="D405" s="39" t="n">
        <x:v>35900060105</x:v>
      </x:c>
      <x:c r="E405" s="39" t="n">
        <x:v>35900068623</x:v>
      </x:c>
      <x:c r="F405" s="39" t="n">
        <x:v>35900078123</x:v>
      </x:c>
      <x:c r="G405" s="39" t="n">
        <x:v>1</x:v>
      </x:c>
      <x:c r="H405" s="39" t="n">
        <x:v>1</x:v>
      </x:c>
      <x:c r="I405" s="39" t="n">
        <x:v>1</x:v>
      </x:c>
      <x:c r="J405" s="40" t="n">
        <x:f>B405/1000000000</x:f>
        <x:v>35.9</x:v>
      </x:c>
      <x:c r="K405" s="41" t="n">
        <x:f>IF(C405&lt;0,NA(),(F405-B405)/1000000)</x:f>
        <x:v>0.078123</x:v>
      </x:c>
      <x:c r="L405" s="39" t="n">
        <x:f>IF(C405&lt;0,1,IF(OR(G405=0,H405=0,I405=0,F405-B405&gt;100000000),1,0))</x:f>
        <x:v>0</x:v>
      </x:c>
      <x:c r="M405" s="39" t="n">
        <x:f>IF(C405&lt;0,1,0)</x:f>
        <x:v>0</x:v>
      </x:c>
      <x:c r="N405" s="1"/>
      <x:c r="O405" s="1"/>
      <x:c r="P405" s="1"/>
      <x:c r="Q405" s="1"/>
      <x:c r="R405" s="1"/>
    </x:row>
    <x:row r="406" ht="22" customHeight="1">
      <x:c r="A406" s="39" t="n">
        <x:v>360</x:v>
      </x:c>
      <x:c r="B406" s="39" t="n">
        <x:v>36000000000</x:v>
      </x:c>
      <x:c r="C406" s="39" t="n">
        <x:v>36000058103</x:v>
      </x:c>
      <x:c r="D406" s="39" t="n">
        <x:v>36000090584</x:v>
      </x:c>
      <x:c r="E406" s="39" t="n">
        <x:v>36000114731</x:v>
      </x:c>
      <x:c r="F406" s="39" t="n">
        <x:v>36000124750</x:v>
      </x:c>
      <x:c r="G406" s="39" t="n">
        <x:v>1</x:v>
      </x:c>
      <x:c r="H406" s="39" t="n">
        <x:v>1</x:v>
      </x:c>
      <x:c r="I406" s="39" t="n">
        <x:v>1</x:v>
      </x:c>
      <x:c r="J406" s="40" t="n">
        <x:f>B406/1000000000</x:f>
        <x:v>36</x:v>
      </x:c>
      <x:c r="K406" s="41" t="n">
        <x:f>IF(C406&lt;0,NA(),(F406-B406)/1000000)</x:f>
        <x:v>0.12475</x:v>
      </x:c>
      <x:c r="L406" s="39" t="n">
        <x:f>IF(C406&lt;0,1,IF(OR(G406=0,H406=0,I406=0,F406-B406&gt;100000000),1,0))</x:f>
        <x:v>0</x:v>
      </x:c>
      <x:c r="M406" s="39" t="n">
        <x:f>IF(C406&lt;0,1,0)</x:f>
        <x:v>0</x:v>
      </x:c>
      <x:c r="N406" s="1"/>
      <x:c r="O406" s="1"/>
      <x:c r="P406" s="1"/>
      <x:c r="Q406" s="1"/>
      <x:c r="R406" s="1"/>
    </x:row>
    <x:row r="407" ht="22" customHeight="1">
      <x:c r="A407" s="39" t="n">
        <x:v>361</x:v>
      </x:c>
      <x:c r="B407" s="39" t="n">
        <x:v>36100000000</x:v>
      </x:c>
      <x:c r="C407" s="39" t="n">
        <x:v>36100053231</x:v>
      </x:c>
      <x:c r="D407" s="39" t="n">
        <x:v>36100061804</x:v>
      </x:c>
      <x:c r="E407" s="39" t="n">
        <x:v>36100073026</x:v>
      </x:c>
      <x:c r="F407" s="39" t="n">
        <x:v>36100082415</x:v>
      </x:c>
      <x:c r="G407" s="39" t="n">
        <x:v>1</x:v>
      </x:c>
      <x:c r="H407" s="39" t="n">
        <x:v>1</x:v>
      </x:c>
      <x:c r="I407" s="39" t="n">
        <x:v>1</x:v>
      </x:c>
      <x:c r="J407" s="40" t="n">
        <x:f>B407/1000000000</x:f>
        <x:v>36.1</x:v>
      </x:c>
      <x:c r="K407" s="41" t="n">
        <x:f>IF(C407&lt;0,NA(),(F407-B407)/1000000)</x:f>
        <x:v>0.082415</x:v>
      </x:c>
      <x:c r="L407" s="39" t="n">
        <x:f>IF(C407&lt;0,1,IF(OR(G407=0,H407=0,I407=0,F407-B407&gt;100000000),1,0))</x:f>
        <x:v>0</x:v>
      </x:c>
      <x:c r="M407" s="39" t="n">
        <x:f>IF(C407&lt;0,1,0)</x:f>
        <x:v>0</x:v>
      </x:c>
      <x:c r="N407" s="1"/>
      <x:c r="O407" s="1"/>
      <x:c r="P407" s="1"/>
      <x:c r="Q407" s="1"/>
      <x:c r="R407" s="1"/>
    </x:row>
    <x:row r="408" ht="22" customHeight="1">
      <x:c r="A408" s="39" t="n">
        <x:v>362</x:v>
      </x:c>
      <x:c r="B408" s="39" t="n">
        <x:v>36200000000</x:v>
      </x:c>
      <x:c r="C408" s="39" t="n">
        <x:v>36200056877</x:v>
      </x:c>
      <x:c r="D408" s="39" t="n">
        <x:v>36200080024</x:v>
      </x:c>
      <x:c r="E408" s="39" t="n">
        <x:v>36200104412</x:v>
      </x:c>
      <x:c r="F408" s="39" t="n">
        <x:v>36200115209</x:v>
      </x:c>
      <x:c r="G408" s="39" t="n">
        <x:v>1</x:v>
      </x:c>
      <x:c r="H408" s="39" t="n">
        <x:v>1</x:v>
      </x:c>
      <x:c r="I408" s="39" t="n">
        <x:v>1</x:v>
      </x:c>
      <x:c r="J408" s="40" t="n">
        <x:f>B408/1000000000</x:f>
        <x:v>36.2</x:v>
      </x:c>
      <x:c r="K408" s="41" t="n">
        <x:f>IF(C408&lt;0,NA(),(F408-B408)/1000000)</x:f>
        <x:v>0.115209</x:v>
      </x:c>
      <x:c r="L408" s="39" t="n">
        <x:f>IF(C408&lt;0,1,IF(OR(G408=0,H408=0,I408=0,F408-B408&gt;100000000),1,0))</x:f>
        <x:v>0</x:v>
      </x:c>
      <x:c r="M408" s="39" t="n">
        <x:f>IF(C408&lt;0,1,0)</x:f>
        <x:v>0</x:v>
      </x:c>
      <x:c r="N408" s="1"/>
      <x:c r="O408" s="1"/>
      <x:c r="P408" s="1"/>
      <x:c r="Q408" s="1"/>
      <x:c r="R408" s="1"/>
    </x:row>
    <x:row r="409" ht="22" customHeight="1">
      <x:c r="A409" s="39" t="n">
        <x:v>363</x:v>
      </x:c>
      <x:c r="B409" s="39" t="n">
        <x:v>36300000000</x:v>
      </x:c>
      <x:c r="C409" s="39" t="n">
        <x:v>36300053615</x:v>
      </x:c>
      <x:c r="D409" s="39" t="n">
        <x:v>36300061597</x:v>
      </x:c>
      <x:c r="E409" s="39" t="n">
        <x:v>36300071078</x:v>
      </x:c>
      <x:c r="F409" s="39" t="n">
        <x:v>36300080448</x:v>
      </x:c>
      <x:c r="G409" s="39" t="n">
        <x:v>1</x:v>
      </x:c>
      <x:c r="H409" s="39" t="n">
        <x:v>1</x:v>
      </x:c>
      <x:c r="I409" s="39" t="n">
        <x:v>1</x:v>
      </x:c>
      <x:c r="J409" s="40" t="n">
        <x:f>B409/1000000000</x:f>
        <x:v>36.3</x:v>
      </x:c>
      <x:c r="K409" s="41" t="n">
        <x:f>IF(C409&lt;0,NA(),(F409-B409)/1000000)</x:f>
        <x:v>0.080448</x:v>
      </x:c>
      <x:c r="L409" s="39" t="n">
        <x:f>IF(C409&lt;0,1,IF(OR(G409=0,H409=0,I409=0,F409-B409&gt;100000000),1,0))</x:f>
        <x:v>0</x:v>
      </x:c>
      <x:c r="M409" s="39" t="n">
        <x:f>IF(C409&lt;0,1,0)</x:f>
        <x:v>0</x:v>
      </x:c>
      <x:c r="N409" s="1"/>
      <x:c r="O409" s="1"/>
      <x:c r="P409" s="1"/>
      <x:c r="Q409" s="1"/>
      <x:c r="R409" s="1"/>
    </x:row>
    <x:row r="410" ht="22" customHeight="1">
      <x:c r="A410" s="39" t="n">
        <x:v>364</x:v>
      </x:c>
      <x:c r="B410" s="39" t="n">
        <x:v>36400000000</x:v>
      </x:c>
      <x:c r="C410" s="39" t="n">
        <x:v>36400051743</x:v>
      </x:c>
      <x:c r="D410" s="39" t="n">
        <x:v>36400058891</x:v>
      </x:c>
      <x:c r="E410" s="39" t="n">
        <x:v>36400067854</x:v>
      </x:c>
      <x:c r="F410" s="39" t="n">
        <x:v>36400077390</x:v>
      </x:c>
      <x:c r="G410" s="39" t="n">
        <x:v>1</x:v>
      </x:c>
      <x:c r="H410" s="39" t="n">
        <x:v>1</x:v>
      </x:c>
      <x:c r="I410" s="39" t="n">
        <x:v>1</x:v>
      </x:c>
      <x:c r="J410" s="40" t="n">
        <x:f>B410/1000000000</x:f>
        <x:v>36.4</x:v>
      </x:c>
      <x:c r="K410" s="41" t="n">
        <x:f>IF(C410&lt;0,NA(),(F410-B410)/1000000)</x:f>
        <x:v>0.07739</x:v>
      </x:c>
      <x:c r="L410" s="39" t="n">
        <x:f>IF(C410&lt;0,1,IF(OR(G410=0,H410=0,I410=0,F410-B410&gt;100000000),1,0))</x:f>
        <x:v>0</x:v>
      </x:c>
      <x:c r="M410" s="39" t="n">
        <x:f>IF(C410&lt;0,1,0)</x:f>
        <x:v>0</x:v>
      </x:c>
      <x:c r="N410" s="1"/>
      <x:c r="O410" s="1"/>
      <x:c r="P410" s="1"/>
      <x:c r="Q410" s="1"/>
      <x:c r="R410" s="1"/>
    </x:row>
    <x:row r="411" ht="22" customHeight="1">
      <x:c r="A411" s="39" t="n">
        <x:v>365</x:v>
      </x:c>
      <x:c r="B411" s="39" t="n">
        <x:v>36500000000</x:v>
      </x:c>
      <x:c r="C411" s="39" t="n">
        <x:v>36500057518</x:v>
      </x:c>
      <x:c r="D411" s="39" t="n">
        <x:v>36500080296</x:v>
      </x:c>
      <x:c r="E411" s="39" t="n">
        <x:v>36500100795</x:v>
      </x:c>
      <x:c r="F411" s="39" t="n">
        <x:v>36500110943</x:v>
      </x:c>
      <x:c r="G411" s="39" t="n">
        <x:v>1</x:v>
      </x:c>
      <x:c r="H411" s="39" t="n">
        <x:v>1</x:v>
      </x:c>
      <x:c r="I411" s="39" t="n">
        <x:v>1</x:v>
      </x:c>
      <x:c r="J411" s="40" t="n">
        <x:f>B411/1000000000</x:f>
        <x:v>36.5</x:v>
      </x:c>
      <x:c r="K411" s="41" t="n">
        <x:f>IF(C411&lt;0,NA(),(F411-B411)/1000000)</x:f>
        <x:v>0.110943</x:v>
      </x:c>
      <x:c r="L411" s="39" t="n">
        <x:f>IF(C411&lt;0,1,IF(OR(G411=0,H411=0,I411=0,F411-B411&gt;100000000),1,0))</x:f>
        <x:v>0</x:v>
      </x:c>
      <x:c r="M411" s="39" t="n">
        <x:f>IF(C411&lt;0,1,0)</x:f>
        <x:v>0</x:v>
      </x:c>
      <x:c r="N411" s="1"/>
      <x:c r="O411" s="1"/>
      <x:c r="P411" s="1"/>
      <x:c r="Q411" s="1"/>
      <x:c r="R411" s="1"/>
    </x:row>
    <x:row r="412" ht="22" customHeight="1">
      <x:c r="A412" s="39" t="n">
        <x:v>366</x:v>
      </x:c>
      <x:c r="B412" s="39" t="n">
        <x:v>36600000000</x:v>
      </x:c>
      <x:c r="C412" s="39" t="n">
        <x:v>36600057738</x:v>
      </x:c>
      <x:c r="D412" s="39" t="n">
        <x:v>36600087034</x:v>
      </x:c>
      <x:c r="E412" s="39" t="n">
        <x:v>36600110811</x:v>
      </x:c>
      <x:c r="F412" s="39" t="n">
        <x:v>36600120959</x:v>
      </x:c>
      <x:c r="G412" s="39" t="n">
        <x:v>1</x:v>
      </x:c>
      <x:c r="H412" s="39" t="n">
        <x:v>1</x:v>
      </x:c>
      <x:c r="I412" s="39" t="n">
        <x:v>1</x:v>
      </x:c>
      <x:c r="J412" s="40" t="n">
        <x:f>B412/1000000000</x:f>
        <x:v>36.6</x:v>
      </x:c>
      <x:c r="K412" s="41" t="n">
        <x:f>IF(C412&lt;0,NA(),(F412-B412)/1000000)</x:f>
        <x:v>0.120959</x:v>
      </x:c>
      <x:c r="L412" s="39" t="n">
        <x:f>IF(C412&lt;0,1,IF(OR(G412=0,H412=0,I412=0,F412-B412&gt;100000000),1,0))</x:f>
        <x:v>0</x:v>
      </x:c>
      <x:c r="M412" s="39" t="n">
        <x:f>IF(C412&lt;0,1,0)</x:f>
        <x:v>0</x:v>
      </x:c>
      <x:c r="N412" s="1"/>
      <x:c r="O412" s="1"/>
      <x:c r="P412" s="1"/>
      <x:c r="Q412" s="1"/>
      <x:c r="R412" s="1"/>
    </x:row>
    <x:row r="413" ht="22" customHeight="1">
      <x:c r="A413" s="39" t="n">
        <x:v>367</x:v>
      </x:c>
      <x:c r="B413" s="39" t="n">
        <x:v>36700000000</x:v>
      </x:c>
      <x:c r="C413" s="39" t="n">
        <x:v>36700053996</x:v>
      </x:c>
      <x:c r="D413" s="39" t="n">
        <x:v>36700062773</x:v>
      </x:c>
      <x:c r="E413" s="39" t="n">
        <x:v>36700071699</x:v>
      </x:c>
      <x:c r="F413" s="39" t="n">
        <x:v>36700081162</x:v>
      </x:c>
      <x:c r="G413" s="39" t="n">
        <x:v>1</x:v>
      </x:c>
      <x:c r="H413" s="39" t="n">
        <x:v>1</x:v>
      </x:c>
      <x:c r="I413" s="39" t="n">
        <x:v>1</x:v>
      </x:c>
      <x:c r="J413" s="40" t="n">
        <x:f>B413/1000000000</x:f>
        <x:v>36.7</x:v>
      </x:c>
      <x:c r="K413" s="41" t="n">
        <x:f>IF(C413&lt;0,NA(),(F413-B413)/1000000)</x:f>
        <x:v>0.081162</x:v>
      </x:c>
      <x:c r="L413" s="39" t="n">
        <x:f>IF(C413&lt;0,1,IF(OR(G413=0,H413=0,I413=0,F413-B413&gt;100000000),1,0))</x:f>
        <x:v>0</x:v>
      </x:c>
      <x:c r="M413" s="39" t="n">
        <x:f>IF(C413&lt;0,1,0)</x:f>
        <x:v>0</x:v>
      </x:c>
      <x:c r="N413" s="1"/>
      <x:c r="O413" s="1"/>
      <x:c r="P413" s="1"/>
      <x:c r="Q413" s="1"/>
      <x:c r="R413" s="1"/>
    </x:row>
    <x:row r="414" ht="22" customHeight="1">
      <x:c r="A414" s="39" t="n">
        <x:v>368</x:v>
      </x:c>
      <x:c r="B414" s="39" t="n">
        <x:v>36800000000</x:v>
      </x:c>
      <x:c r="C414" s="39" t="n">
        <x:v>36800052660</x:v>
      </x:c>
      <x:c r="D414" s="39" t="n">
        <x:v>36800062141</x:v>
      </x:c>
      <x:c r="E414" s="39" t="n">
        <x:v>36800072512</x:v>
      </x:c>
      <x:c r="F414" s="39" t="n">
        <x:v>36800081956</x:v>
      </x:c>
      <x:c r="G414" s="39" t="n">
        <x:v>1</x:v>
      </x:c>
      <x:c r="H414" s="39" t="n">
        <x:v>1</x:v>
      </x:c>
      <x:c r="I414" s="39" t="n">
        <x:v>1</x:v>
      </x:c>
      <x:c r="J414" s="40" t="n">
        <x:f>B414/1000000000</x:f>
        <x:v>36.8</x:v>
      </x:c>
      <x:c r="K414" s="41" t="n">
        <x:f>IF(C414&lt;0,NA(),(F414-B414)/1000000)</x:f>
        <x:v>0.081956</x:v>
      </x:c>
      <x:c r="L414" s="39" t="n">
        <x:f>IF(C414&lt;0,1,IF(OR(G414=0,H414=0,I414=0,F414-B414&gt;100000000),1,0))</x:f>
        <x:v>0</x:v>
      </x:c>
      <x:c r="M414" s="39" t="n">
        <x:f>IF(C414&lt;0,1,0)</x:f>
        <x:v>0</x:v>
      </x:c>
      <x:c r="N414" s="1"/>
      <x:c r="O414" s="1"/>
      <x:c r="P414" s="1"/>
      <x:c r="Q414" s="1"/>
      <x:c r="R414" s="1"/>
    </x:row>
    <x:row r="415" ht="22" customHeight="1">
      <x:c r="A415" s="39" t="n">
        <x:v>369</x:v>
      </x:c>
      <x:c r="B415" s="39" t="n">
        <x:v>36900000000</x:v>
      </x:c>
      <x:c r="C415" s="39" t="n">
        <x:v>36900051743</x:v>
      </x:c>
      <x:c r="D415" s="39" t="n">
        <x:v>36900058965</x:v>
      </x:c>
      <x:c r="E415" s="39" t="n">
        <x:v>36900067317</x:v>
      </x:c>
      <x:c r="F415" s="39" t="n">
        <x:v>36900076650</x:v>
      </x:c>
      <x:c r="G415" s="39" t="n">
        <x:v>1</x:v>
      </x:c>
      <x:c r="H415" s="39" t="n">
        <x:v>1</x:v>
      </x:c>
      <x:c r="I415" s="39" t="n">
        <x:v>1</x:v>
      </x:c>
      <x:c r="J415" s="40" t="n">
        <x:f>B415/1000000000</x:f>
        <x:v>36.9</x:v>
      </x:c>
      <x:c r="K415" s="41" t="n">
        <x:f>IF(C415&lt;0,NA(),(F415-B415)/1000000)</x:f>
        <x:v>0.07665</x:v>
      </x:c>
      <x:c r="L415" s="39" t="n">
        <x:f>IF(C415&lt;0,1,IF(OR(G415=0,H415=0,I415=0,F415-B415&gt;100000000),1,0))</x:f>
        <x:v>0</x:v>
      </x:c>
      <x:c r="M415" s="39" t="n">
        <x:f>IF(C415&lt;0,1,0)</x:f>
        <x:v>0</x:v>
      </x:c>
      <x:c r="N415" s="1"/>
      <x:c r="O415" s="1"/>
      <x:c r="P415" s="1"/>
      <x:c r="Q415" s="1"/>
      <x:c r="R415" s="1"/>
    </x:row>
    <x:row r="416" ht="22" customHeight="1">
      <x:c r="A416" s="39" t="n">
        <x:v>370</x:v>
      </x:c>
      <x:c r="B416" s="39" t="n">
        <x:v>37000000000</x:v>
      </x:c>
      <x:c r="C416" s="39" t="n">
        <x:v>37000054499</x:v>
      </x:c>
      <x:c r="D416" s="39" t="n">
        <x:v>37000067054</x:v>
      </x:c>
      <x:c r="E416" s="39" t="n">
        <x:v>37000079758</x:v>
      </x:c>
      <x:c r="F416" s="39" t="n">
        <x:v>37000089350</x:v>
      </x:c>
      <x:c r="G416" s="39" t="n">
        <x:v>1</x:v>
      </x:c>
      <x:c r="H416" s="39" t="n">
        <x:v>1</x:v>
      </x:c>
      <x:c r="I416" s="39" t="n">
        <x:v>1</x:v>
      </x:c>
      <x:c r="J416" s="40" t="n">
        <x:f>B416/1000000000</x:f>
        <x:v>37</x:v>
      </x:c>
      <x:c r="K416" s="41" t="n">
        <x:f>IF(C416&lt;0,NA(),(F416-B416)/1000000)</x:f>
        <x:v>0.08935</x:v>
      </x:c>
      <x:c r="L416" s="39" t="n">
        <x:f>IF(C416&lt;0,1,IF(OR(G416=0,H416=0,I416=0,F416-B416&gt;100000000),1,0))</x:f>
        <x:v>0</x:v>
      </x:c>
      <x:c r="M416" s="39" t="n">
        <x:f>IF(C416&lt;0,1,0)</x:f>
        <x:v>0</x:v>
      </x:c>
      <x:c r="N416" s="1"/>
      <x:c r="O416" s="1"/>
      <x:c r="P416" s="1"/>
      <x:c r="Q416" s="1"/>
      <x:c r="R416" s="1"/>
    </x:row>
    <x:row r="417" ht="22" customHeight="1">
      <x:c r="A417" s="39" t="n">
        <x:v>371</x:v>
      </x:c>
      <x:c r="B417" s="39" t="n">
        <x:v>37100000000</x:v>
      </x:c>
      <x:c r="C417" s="39" t="n">
        <x:v>37100052848</x:v>
      </x:c>
      <x:c r="D417" s="39" t="n">
        <x:v>37100060218</x:v>
      </x:c>
      <x:c r="E417" s="39" t="n">
        <x:v>37100068884</x:v>
      </x:c>
      <x:c r="F417" s="39" t="n">
        <x:v>37100078217</x:v>
      </x:c>
      <x:c r="G417" s="39" t="n">
        <x:v>1</x:v>
      </x:c>
      <x:c r="H417" s="39" t="n">
        <x:v>1</x:v>
      </x:c>
      <x:c r="I417" s="39" t="n">
        <x:v>1</x:v>
      </x:c>
      <x:c r="J417" s="40" t="n">
        <x:f>B417/1000000000</x:f>
        <x:v>37.1</x:v>
      </x:c>
      <x:c r="K417" s="41" t="n">
        <x:f>IF(C417&lt;0,NA(),(F417-B417)/1000000)</x:f>
        <x:v>0.078217</x:v>
      </x:c>
      <x:c r="L417" s="39" t="n">
        <x:f>IF(C417&lt;0,1,IF(OR(G417=0,H417=0,I417=0,F417-B417&gt;100000000),1,0))</x:f>
        <x:v>0</x:v>
      </x:c>
      <x:c r="M417" s="39" t="n">
        <x:f>IF(C417&lt;0,1,0)</x:f>
        <x:v>0</x:v>
      </x:c>
      <x:c r="N417" s="1"/>
      <x:c r="O417" s="1"/>
      <x:c r="P417" s="1"/>
      <x:c r="Q417" s="1"/>
      <x:c r="R417" s="1"/>
    </x:row>
    <x:row r="418" ht="22" customHeight="1">
      <x:c r="A418" s="39" t="n">
        <x:v>372</x:v>
      </x:c>
      <x:c r="B418" s="39" t="n">
        <x:v>37200000000</x:v>
      </x:c>
      <x:c r="C418" s="39" t="n">
        <x:v>37200058196</x:v>
      </x:c>
      <x:c r="D418" s="39" t="n">
        <x:v>37200090251</x:v>
      </x:c>
      <x:c r="E418" s="39" t="n">
        <x:v>37200119398</x:v>
      </x:c>
      <x:c r="F418" s="39" t="n">
        <x:v>37200129639</x:v>
      </x:c>
      <x:c r="G418" s="39" t="n">
        <x:v>1</x:v>
      </x:c>
      <x:c r="H418" s="39" t="n">
        <x:v>1</x:v>
      </x:c>
      <x:c r="I418" s="39" t="n">
        <x:v>1</x:v>
      </x:c>
      <x:c r="J418" s="40" t="n">
        <x:f>B418/1000000000</x:f>
        <x:v>37.2</x:v>
      </x:c>
      <x:c r="K418" s="41" t="n">
        <x:f>IF(C418&lt;0,NA(),(F418-B418)/1000000)</x:f>
        <x:v>0.129639</x:v>
      </x:c>
      <x:c r="L418" s="39" t="n">
        <x:f>IF(C418&lt;0,1,IF(OR(G418=0,H418=0,I418=0,F418-B418&gt;100000000),1,0))</x:f>
        <x:v>0</x:v>
      </x:c>
      <x:c r="M418" s="39" t="n">
        <x:f>IF(C418&lt;0,1,0)</x:f>
        <x:v>0</x:v>
      </x:c>
      <x:c r="N418" s="1"/>
      <x:c r="O418" s="1"/>
      <x:c r="P418" s="1"/>
      <x:c r="Q418" s="1"/>
      <x:c r="R418" s="1"/>
    </x:row>
    <x:row r="419" ht="22" customHeight="1">
      <x:c r="A419" s="39" t="n">
        <x:v>373</x:v>
      </x:c>
      <x:c r="B419" s="39" t="n">
        <x:v>37300000000</x:v>
      </x:c>
      <x:c r="C419" s="39" t="n">
        <x:v>37300052174</x:v>
      </x:c>
      <x:c r="D419" s="39" t="n">
        <x:v>37300060989</x:v>
      </x:c>
      <x:c r="E419" s="39" t="n">
        <x:v>37300070100</x:v>
      </x:c>
      <x:c r="F419" s="39" t="n">
        <x:v>37300079452</x:v>
      </x:c>
      <x:c r="G419" s="39" t="n">
        <x:v>1</x:v>
      </x:c>
      <x:c r="H419" s="39" t="n">
        <x:v>1</x:v>
      </x:c>
      <x:c r="I419" s="39" t="n">
        <x:v>1</x:v>
      </x:c>
      <x:c r="J419" s="40" t="n">
        <x:f>B419/1000000000</x:f>
        <x:v>37.3</x:v>
      </x:c>
      <x:c r="K419" s="41" t="n">
        <x:f>IF(C419&lt;0,NA(),(F419-B419)/1000000)</x:f>
        <x:v>0.079452</x:v>
      </x:c>
      <x:c r="L419" s="39" t="n">
        <x:f>IF(C419&lt;0,1,IF(OR(G419=0,H419=0,I419=0,F419-B419&gt;100000000),1,0))</x:f>
        <x:v>0</x:v>
      </x:c>
      <x:c r="M419" s="39" t="n">
        <x:f>IF(C419&lt;0,1,0)</x:f>
        <x:v>0</x:v>
      </x:c>
      <x:c r="N419" s="1"/>
      <x:c r="O419" s="1"/>
      <x:c r="P419" s="1"/>
      <x:c r="Q419" s="1"/>
      <x:c r="R419" s="1"/>
    </x:row>
    <x:row r="420" ht="22" customHeight="1">
      <x:c r="A420" s="39" t="n">
        <x:v>374</x:v>
      </x:c>
      <x:c r="B420" s="39" t="n">
        <x:v>37400000000</x:v>
      </x:c>
      <x:c r="C420" s="39" t="n">
        <x:v>37400052616</x:v>
      </x:c>
      <x:c r="D420" s="39" t="n">
        <x:v>37400060930</x:v>
      </x:c>
      <x:c r="E420" s="39" t="n">
        <x:v>37400074708</x:v>
      </x:c>
      <x:c r="F420" s="39" t="n">
        <x:v>37400084282</x:v>
      </x:c>
      <x:c r="G420" s="39" t="n">
        <x:v>1</x:v>
      </x:c>
      <x:c r="H420" s="39" t="n">
        <x:v>1</x:v>
      </x:c>
      <x:c r="I420" s="39" t="n">
        <x:v>1</x:v>
      </x:c>
      <x:c r="J420" s="40" t="n">
        <x:f>B420/1000000000</x:f>
        <x:v>37.4</x:v>
      </x:c>
      <x:c r="K420" s="41" t="n">
        <x:f>IF(C420&lt;0,NA(),(F420-B420)/1000000)</x:f>
        <x:v>0.084282</x:v>
      </x:c>
      <x:c r="L420" s="39" t="n">
        <x:f>IF(C420&lt;0,1,IF(OR(G420=0,H420=0,I420=0,F420-B420&gt;100000000),1,0))</x:f>
        <x:v>0</x:v>
      </x:c>
      <x:c r="M420" s="39" t="n">
        <x:f>IF(C420&lt;0,1,0)</x:f>
        <x:v>0</x:v>
      </x:c>
      <x:c r="N420" s="1"/>
      <x:c r="O420" s="1"/>
      <x:c r="P420" s="1"/>
      <x:c r="Q420" s="1"/>
      <x:c r="R420" s="1"/>
    </x:row>
    <x:row r="421" ht="22" customHeight="1">
      <x:c r="A421" s="39" t="n">
        <x:v>375</x:v>
      </x:c>
      <x:c r="B421" s="39" t="n">
        <x:v>37500000000</x:v>
      </x:c>
      <x:c r="C421" s="39" t="n">
        <x:v>37500054909</x:v>
      </x:c>
      <x:c r="D421" s="39" t="n">
        <x:v>37500069112</x:v>
      </x:c>
      <x:c r="E421" s="39" t="n">
        <x:v>37500084612</x:v>
      </x:c>
      <x:c r="F421" s="39" t="n">
        <x:v>37500094297</x:v>
      </x:c>
      <x:c r="G421" s="39" t="n">
        <x:v>1</x:v>
      </x:c>
      <x:c r="H421" s="39" t="n">
        <x:v>1</x:v>
      </x:c>
      <x:c r="I421" s="39" t="n">
        <x:v>1</x:v>
      </x:c>
      <x:c r="J421" s="40" t="n">
        <x:f>B421/1000000000</x:f>
        <x:v>37.5</x:v>
      </x:c>
      <x:c r="K421" s="41" t="n">
        <x:f>IF(C421&lt;0,NA(),(F421-B421)/1000000)</x:f>
        <x:v>0.094297</x:v>
      </x:c>
      <x:c r="L421" s="39" t="n">
        <x:f>IF(C421&lt;0,1,IF(OR(G421=0,H421=0,I421=0,F421-B421&gt;100000000),1,0))</x:f>
        <x:v>0</x:v>
      </x:c>
      <x:c r="M421" s="39" t="n">
        <x:f>IF(C421&lt;0,1,0)</x:f>
        <x:v>0</x:v>
      </x:c>
      <x:c r="N421" s="1"/>
      <x:c r="O421" s="1"/>
      <x:c r="P421" s="1"/>
      <x:c r="Q421" s="1"/>
      <x:c r="R421" s="1"/>
    </x:row>
    <x:row r="422" ht="22" customHeight="1">
      <x:c r="A422" s="39" t="n">
        <x:v>376</x:v>
      </x:c>
      <x:c r="B422" s="39" t="n">
        <x:v>37600000000</x:v>
      </x:c>
      <x:c r="C422" s="39" t="n">
        <x:v>37600055072</x:v>
      </x:c>
      <x:c r="D422" s="39" t="n">
        <x:v>37600067461</x:v>
      </x:c>
      <x:c r="E422" s="39" t="n">
        <x:v>37600080442</x:v>
      </x:c>
      <x:c r="F422" s="39" t="n">
        <x:v>37600089979</x:v>
      </x:c>
      <x:c r="G422" s="39" t="n">
        <x:v>1</x:v>
      </x:c>
      <x:c r="H422" s="39" t="n">
        <x:v>1</x:v>
      </x:c>
      <x:c r="I422" s="39" t="n">
        <x:v>1</x:v>
      </x:c>
      <x:c r="J422" s="40" t="n">
        <x:f>B422/1000000000</x:f>
        <x:v>37.6</x:v>
      </x:c>
      <x:c r="K422" s="41" t="n">
        <x:f>IF(C422&lt;0,NA(),(F422-B422)/1000000)</x:f>
        <x:v>0.089979</x:v>
      </x:c>
      <x:c r="L422" s="39" t="n">
        <x:f>IF(C422&lt;0,1,IF(OR(G422=0,H422=0,I422=0,F422-B422&gt;100000000),1,0))</x:f>
        <x:v>0</x:v>
      </x:c>
      <x:c r="M422" s="39" t="n">
        <x:f>IF(C422&lt;0,1,0)</x:f>
        <x:v>0</x:v>
      </x:c>
      <x:c r="N422" s="1"/>
      <x:c r="O422" s="1"/>
      <x:c r="P422" s="1"/>
      <x:c r="Q422" s="1"/>
      <x:c r="R422" s="1"/>
    </x:row>
    <x:row r="423" ht="22" customHeight="1">
      <x:c r="A423" s="39" t="n">
        <x:v>377</x:v>
      </x:c>
      <x:c r="B423" s="39" t="n">
        <x:v>37700000000</x:v>
      </x:c>
      <x:c r="C423" s="39" t="n">
        <x:v>37700054254</x:v>
      </x:c>
      <x:c r="D423" s="39" t="n">
        <x:v>37700061235</x:v>
      </x:c>
      <x:c r="E423" s="39" t="n">
        <x:v>37700069105</x:v>
      </x:c>
      <x:c r="F423" s="39" t="n">
        <x:v>37700078457</x:v>
      </x:c>
      <x:c r="G423" s="39" t="n">
        <x:v>1</x:v>
      </x:c>
      <x:c r="H423" s="39" t="n">
        <x:v>1</x:v>
      </x:c>
      <x:c r="I423" s="39" t="n">
        <x:v>1</x:v>
      </x:c>
      <x:c r="J423" s="40" t="n">
        <x:f>B423/1000000000</x:f>
        <x:v>37.7</x:v>
      </x:c>
      <x:c r="K423" s="41" t="n">
        <x:f>IF(C423&lt;0,NA(),(F423-B423)/1000000)</x:f>
        <x:v>0.078457</x:v>
      </x:c>
      <x:c r="L423" s="39" t="n">
        <x:f>IF(C423&lt;0,1,IF(OR(G423=0,H423=0,I423=0,F423-B423&gt;100000000),1,0))</x:f>
        <x:v>0</x:v>
      </x:c>
      <x:c r="M423" s="39" t="n">
        <x:f>IF(C423&lt;0,1,0)</x:f>
        <x:v>0</x:v>
      </x:c>
      <x:c r="N423" s="1"/>
      <x:c r="O423" s="1"/>
      <x:c r="P423" s="1"/>
      <x:c r="Q423" s="1"/>
      <x:c r="R423" s="1"/>
    </x:row>
    <x:row r="424" ht="22" customHeight="1">
      <x:c r="A424" s="39" t="n">
        <x:v>378</x:v>
      </x:c>
      <x:c r="B424" s="39" t="n">
        <x:v>37800000000</x:v>
      </x:c>
      <x:c r="C424" s="39" t="n">
        <x:v>37800057862</x:v>
      </x:c>
      <x:c r="D424" s="39" t="n">
        <x:v>37800085639</x:v>
      </x:c>
      <x:c r="E424" s="39" t="n">
        <x:v>37800106138</x:v>
      </x:c>
      <x:c r="F424" s="39" t="n">
        <x:v>37800116879</x:v>
      </x:c>
      <x:c r="G424" s="39" t="n">
        <x:v>1</x:v>
      </x:c>
      <x:c r="H424" s="39" t="n">
        <x:v>1</x:v>
      </x:c>
      <x:c r="I424" s="39" t="n">
        <x:v>1</x:v>
      </x:c>
      <x:c r="J424" s="40" t="n">
        <x:f>B424/1000000000</x:f>
        <x:v>37.8</x:v>
      </x:c>
      <x:c r="K424" s="41" t="n">
        <x:f>IF(C424&lt;0,NA(),(F424-B424)/1000000)</x:f>
        <x:v>0.116879</x:v>
      </x:c>
      <x:c r="L424" s="39" t="n">
        <x:f>IF(C424&lt;0,1,IF(OR(G424=0,H424=0,I424=0,F424-B424&gt;100000000),1,0))</x:f>
        <x:v>0</x:v>
      </x:c>
      <x:c r="M424" s="39" t="n">
        <x:f>IF(C424&lt;0,1,0)</x:f>
        <x:v>0</x:v>
      </x:c>
      <x:c r="N424" s="1"/>
      <x:c r="O424" s="1"/>
      <x:c r="P424" s="1"/>
      <x:c r="Q424" s="1"/>
      <x:c r="R424" s="1"/>
    </x:row>
    <x:row r="425" ht="22" customHeight="1">
      <x:c r="A425" s="39" t="n">
        <x:v>379</x:v>
      </x:c>
      <x:c r="B425" s="39" t="n">
        <x:v>37900000000</x:v>
      </x:c>
      <x:c r="C425" s="39" t="n">
        <x:v>37900055756</x:v>
      </x:c>
      <x:c r="D425" s="39" t="n">
        <x:v>37900072108</x:v>
      </x:c>
      <x:c r="E425" s="39" t="n">
        <x:v>37900087737</x:v>
      </x:c>
      <x:c r="F425" s="39" t="n">
        <x:v>37900097477</x:v>
      </x:c>
      <x:c r="G425" s="39" t="n">
        <x:v>1</x:v>
      </x:c>
      <x:c r="H425" s="39" t="n">
        <x:v>1</x:v>
      </x:c>
      <x:c r="I425" s="39" t="n">
        <x:v>1</x:v>
      </x:c>
      <x:c r="J425" s="40" t="n">
        <x:f>B425/1000000000</x:f>
        <x:v>37.9</x:v>
      </x:c>
      <x:c r="K425" s="41" t="n">
        <x:f>IF(C425&lt;0,NA(),(F425-B425)/1000000)</x:f>
        <x:v>0.097477</x:v>
      </x:c>
      <x:c r="L425" s="39" t="n">
        <x:f>IF(C425&lt;0,1,IF(OR(G425=0,H425=0,I425=0,F425-B425&gt;100000000),1,0))</x:f>
        <x:v>0</x:v>
      </x:c>
      <x:c r="M425" s="39" t="n">
        <x:f>IF(C425&lt;0,1,0)</x:f>
        <x:v>0</x:v>
      </x:c>
      <x:c r="N425" s="1"/>
      <x:c r="O425" s="1"/>
      <x:c r="P425" s="1"/>
      <x:c r="Q425" s="1"/>
      <x:c r="R425" s="1"/>
    </x:row>
    <x:row r="426" ht="22" customHeight="1">
      <x:c r="A426" s="39" t="n">
        <x:v>380</x:v>
      </x:c>
      <x:c r="B426" s="39" t="n">
        <x:v>38000000000</x:v>
      </x:c>
      <x:c r="C426" s="39" t="n">
        <x:v>38000054784</x:v>
      </x:c>
      <x:c r="D426" s="39" t="n">
        <x:v>38000065599</x:v>
      </x:c>
      <x:c r="E426" s="39" t="n">
        <x:v>38000076098</x:v>
      </x:c>
      <x:c r="F426" s="39" t="n">
        <x:v>38000085987</x:v>
      </x:c>
      <x:c r="G426" s="39" t="n">
        <x:v>1</x:v>
      </x:c>
      <x:c r="H426" s="39" t="n">
        <x:v>1</x:v>
      </x:c>
      <x:c r="I426" s="39" t="n">
        <x:v>1</x:v>
      </x:c>
      <x:c r="J426" s="40" t="n">
        <x:f>B426/1000000000</x:f>
        <x:v>38</x:v>
      </x:c>
      <x:c r="K426" s="41" t="n">
        <x:f>IF(C426&lt;0,NA(),(F426-B426)/1000000)</x:f>
        <x:v>0.085987</x:v>
      </x:c>
      <x:c r="L426" s="39" t="n">
        <x:f>IF(C426&lt;0,1,IF(OR(G426=0,H426=0,I426=0,F426-B426&gt;100000000),1,0))</x:f>
        <x:v>0</x:v>
      </x:c>
      <x:c r="M426" s="39" t="n">
        <x:f>IF(C426&lt;0,1,0)</x:f>
        <x:v>0</x:v>
      </x:c>
      <x:c r="N426" s="1"/>
      <x:c r="O426" s="1"/>
      <x:c r="P426" s="1"/>
      <x:c r="Q426" s="1"/>
      <x:c r="R426" s="1"/>
    </x:row>
    <x:row r="427" ht="22" customHeight="1">
      <x:c r="A427" s="39" t="n">
        <x:v>381</x:v>
      </x:c>
      <x:c r="B427" s="39" t="n">
        <x:v>38100000000</x:v>
      </x:c>
      <x:c r="C427" s="39" t="n">
        <x:v>38100053238</x:v>
      </x:c>
      <x:c r="D427" s="39" t="n">
        <x:v>38100060386</x:v>
      </x:c>
      <x:c r="E427" s="39" t="n">
        <x:v>38100069349</x:v>
      </x:c>
      <x:c r="F427" s="39" t="n">
        <x:v>38100078701</x:v>
      </x:c>
      <x:c r="G427" s="39" t="n">
        <x:v>1</x:v>
      </x:c>
      <x:c r="H427" s="39" t="n">
        <x:v>1</x:v>
      </x:c>
      <x:c r="I427" s="39" t="n">
        <x:v>1</x:v>
      </x:c>
      <x:c r="J427" s="40" t="n">
        <x:f>B427/1000000000</x:f>
        <x:v>38.1</x:v>
      </x:c>
      <x:c r="K427" s="41" t="n">
        <x:f>IF(C427&lt;0,NA(),(F427-B427)/1000000)</x:f>
        <x:v>0.078701</x:v>
      </x:c>
      <x:c r="L427" s="39" t="n">
        <x:f>IF(C427&lt;0,1,IF(OR(G427=0,H427=0,I427=0,F427-B427&gt;100000000),1,0))</x:f>
        <x:v>0</x:v>
      </x:c>
      <x:c r="M427" s="39" t="n">
        <x:f>IF(C427&lt;0,1,0)</x:f>
        <x:v>0</x:v>
      </x:c>
      <x:c r="N427" s="1"/>
      <x:c r="O427" s="1"/>
      <x:c r="P427" s="1"/>
      <x:c r="Q427" s="1"/>
      <x:c r="R427" s="1"/>
    </x:row>
    <x:row r="428" ht="22" customHeight="1">
      <x:c r="A428" s="39" t="n">
        <x:v>382</x:v>
      </x:c>
      <x:c r="B428" s="39" t="n">
        <x:v>38200000000</x:v>
      </x:c>
      <x:c r="C428" s="39" t="n">
        <x:v>38200055192</x:v>
      </x:c>
      <x:c r="D428" s="39" t="n">
        <x:v>38200071284</x:v>
      </x:c>
      <x:c r="E428" s="39" t="n">
        <x:v>38200084840</x:v>
      </x:c>
      <x:c r="F428" s="39" t="n">
        <x:v>38200094599</x:v>
      </x:c>
      <x:c r="G428" s="39" t="n">
        <x:v>1</x:v>
      </x:c>
      <x:c r="H428" s="39" t="n">
        <x:v>1</x:v>
      </x:c>
      <x:c r="I428" s="39" t="n">
        <x:v>1</x:v>
      </x:c>
      <x:c r="J428" s="40" t="n">
        <x:f>B428/1000000000</x:f>
        <x:v>38.2</x:v>
      </x:c>
      <x:c r="K428" s="41" t="n">
        <x:f>IF(C428&lt;0,NA(),(F428-B428)/1000000)</x:f>
        <x:v>0.094599</x:v>
      </x:c>
      <x:c r="L428" s="39" t="n">
        <x:f>IF(C428&lt;0,1,IF(OR(G428=0,H428=0,I428=0,F428-B428&gt;100000000),1,0))</x:f>
        <x:v>0</x:v>
      </x:c>
      <x:c r="M428" s="39" t="n">
        <x:f>IF(C428&lt;0,1,0)</x:f>
        <x:v>0</x:v>
      </x:c>
      <x:c r="N428" s="1"/>
      <x:c r="O428" s="1"/>
      <x:c r="P428" s="1"/>
      <x:c r="Q428" s="1"/>
      <x:c r="R428" s="1"/>
    </x:row>
    <x:row r="429" ht="22" customHeight="1">
      <x:c r="A429" s="39" t="n">
        <x:v>383</x:v>
      </x:c>
      <x:c r="B429" s="39" t="n">
        <x:v>38300000000</x:v>
      </x:c>
      <x:c r="C429" s="39" t="n">
        <x:v>38300053498</x:v>
      </x:c>
      <x:c r="D429" s="39" t="n">
        <x:v>38300063053</x:v>
      </x:c>
      <x:c r="E429" s="39" t="n">
        <x:v>38300073423</x:v>
      </x:c>
      <x:c r="F429" s="39" t="n">
        <x:v>38300082831</x:v>
      </x:c>
      <x:c r="G429" s="39" t="n">
        <x:v>1</x:v>
      </x:c>
      <x:c r="H429" s="39" t="n">
        <x:v>1</x:v>
      </x:c>
      <x:c r="I429" s="39" t="n">
        <x:v>1</x:v>
      </x:c>
      <x:c r="J429" s="40" t="n">
        <x:f>B429/1000000000</x:f>
        <x:v>38.3</x:v>
      </x:c>
      <x:c r="K429" s="41" t="n">
        <x:f>IF(C429&lt;0,NA(),(F429-B429)/1000000)</x:f>
        <x:v>0.082831</x:v>
      </x:c>
      <x:c r="L429" s="39" t="n">
        <x:f>IF(C429&lt;0,1,IF(OR(G429=0,H429=0,I429=0,F429-B429&gt;100000000),1,0))</x:f>
        <x:v>0</x:v>
      </x:c>
      <x:c r="M429" s="39" t="n">
        <x:f>IF(C429&lt;0,1,0)</x:f>
        <x:v>0</x:v>
      </x:c>
      <x:c r="N429" s="1"/>
      <x:c r="O429" s="1"/>
      <x:c r="P429" s="1"/>
      <x:c r="Q429" s="1"/>
      <x:c r="R429" s="1"/>
    </x:row>
    <x:row r="430" ht="22" customHeight="1">
      <x:c r="A430" s="39" t="n">
        <x:v>384</x:v>
      </x:c>
      <x:c r="B430" s="39" t="n">
        <x:v>38400000000</x:v>
      </x:c>
      <x:c r="C430" s="39" t="n">
        <x:v>38400058230</x:v>
      </x:c>
      <x:c r="D430" s="39" t="n">
        <x:v>38400087951</x:v>
      </x:c>
      <x:c r="E430" s="39" t="n">
        <x:v>38400109451</x:v>
      </x:c>
      <x:c r="F430" s="39" t="n">
        <x:v>38400119247</x:v>
      </x:c>
      <x:c r="G430" s="39" t="n">
        <x:v>1</x:v>
      </x:c>
      <x:c r="H430" s="39" t="n">
        <x:v>1</x:v>
      </x:c>
      <x:c r="I430" s="39" t="n">
        <x:v>1</x:v>
      </x:c>
      <x:c r="J430" s="40" t="n">
        <x:f>B430/1000000000</x:f>
        <x:v>38.4</x:v>
      </x:c>
      <x:c r="K430" s="41" t="n">
        <x:f>IF(C430&lt;0,NA(),(F430-B430)/1000000)</x:f>
        <x:v>0.119247</x:v>
      </x:c>
      <x:c r="L430" s="39" t="n">
        <x:f>IF(C430&lt;0,1,IF(OR(G430=0,H430=0,I430=0,F430-B430&gt;100000000),1,0))</x:f>
        <x:v>0</x:v>
      </x:c>
      <x:c r="M430" s="39" t="n">
        <x:f>IF(C430&lt;0,1,0)</x:f>
        <x:v>0</x:v>
      </x:c>
      <x:c r="N430" s="1"/>
      <x:c r="O430" s="1"/>
      <x:c r="P430" s="1"/>
      <x:c r="Q430" s="1"/>
      <x:c r="R430" s="1"/>
    </x:row>
    <x:row r="431" ht="22" customHeight="1">
      <x:c r="A431" s="39" t="n">
        <x:v>385</x:v>
      </x:c>
      <x:c r="B431" s="39" t="n">
        <x:v>38500000000</x:v>
      </x:c>
      <x:c r="C431" s="39" t="n">
        <x:v>38500055443</x:v>
      </x:c>
      <x:c r="D431" s="39" t="n">
        <x:v>38500069609</x:v>
      </x:c>
      <x:c r="E431" s="39" t="n">
        <x:v>38500082813</x:v>
      </x:c>
      <x:c r="F431" s="39" t="n">
        <x:v>38500093146</x:v>
      </x:c>
      <x:c r="G431" s="39" t="n">
        <x:v>1</x:v>
      </x:c>
      <x:c r="H431" s="39" t="n">
        <x:v>1</x:v>
      </x:c>
      <x:c r="I431" s="39" t="n">
        <x:v>1</x:v>
      </x:c>
      <x:c r="J431" s="40" t="n">
        <x:f>B431/1000000000</x:f>
        <x:v>38.5</x:v>
      </x:c>
      <x:c r="K431" s="41" t="n">
        <x:f>IF(C431&lt;0,NA(),(F431-B431)/1000000)</x:f>
        <x:v>0.093146</x:v>
      </x:c>
      <x:c r="L431" s="39" t="n">
        <x:f>IF(C431&lt;0,1,IF(OR(G431=0,H431=0,I431=0,F431-B431&gt;100000000),1,0))</x:f>
        <x:v>0</x:v>
      </x:c>
      <x:c r="M431" s="39" t="n">
        <x:f>IF(C431&lt;0,1,0)</x:f>
        <x:v>0</x:v>
      </x:c>
      <x:c r="N431" s="1"/>
      <x:c r="O431" s="1"/>
      <x:c r="P431" s="1"/>
      <x:c r="Q431" s="1"/>
      <x:c r="R431" s="1"/>
    </x:row>
    <x:row r="432" ht="22" customHeight="1">
      <x:c r="A432" s="39" t="n">
        <x:v>386</x:v>
      </x:c>
      <x:c r="B432" s="39" t="n">
        <x:v>38600000000</x:v>
      </x:c>
      <x:c r="C432" s="39" t="n">
        <x:v>38600055526</x:v>
      </x:c>
      <x:c r="D432" s="39" t="n">
        <x:v>38600067767</x:v>
      </x:c>
      <x:c r="E432" s="39" t="n">
        <x:v>38600080581</x:v>
      </x:c>
      <x:c r="F432" s="39" t="n">
        <x:v>38600090063</x:v>
      </x:c>
      <x:c r="G432" s="39" t="n">
        <x:v>1</x:v>
      </x:c>
      <x:c r="H432" s="39" t="n">
        <x:v>1</x:v>
      </x:c>
      <x:c r="I432" s="39" t="n">
        <x:v>1</x:v>
      </x:c>
      <x:c r="J432" s="40" t="n">
        <x:f>B432/1000000000</x:f>
        <x:v>38.6</x:v>
      </x:c>
      <x:c r="K432" s="41" t="n">
        <x:f>IF(C432&lt;0,NA(),(F432-B432)/1000000)</x:f>
        <x:v>0.090063</x:v>
      </x:c>
      <x:c r="L432" s="39" t="n">
        <x:f>IF(C432&lt;0,1,IF(OR(G432=0,H432=0,I432=0,F432-B432&gt;100000000),1,0))</x:f>
        <x:v>0</x:v>
      </x:c>
      <x:c r="M432" s="39" t="n">
        <x:f>IF(C432&lt;0,1,0)</x:f>
        <x:v>0</x:v>
      </x:c>
      <x:c r="N432" s="1"/>
      <x:c r="O432" s="1"/>
      <x:c r="P432" s="1"/>
      <x:c r="Q432" s="1"/>
      <x:c r="R432" s="1"/>
    </x:row>
    <x:row r="433" ht="22" customHeight="1">
      <x:c r="A433" s="39" t="n">
        <x:v>387</x:v>
      </x:c>
      <x:c r="B433" s="39" t="n">
        <x:v>38700000000</x:v>
      </x:c>
      <x:c r="C433" s="39" t="n">
        <x:v>38700052703</x:v>
      </x:c>
      <x:c r="D433" s="39" t="n">
        <x:v>38700059258</x:v>
      </x:c>
      <x:c r="E433" s="39" t="n">
        <x:v>38700067332</x:v>
      </x:c>
      <x:c r="F433" s="39" t="n">
        <x:v>38700076702</x:v>
      </x:c>
      <x:c r="G433" s="39" t="n">
        <x:v>1</x:v>
      </x:c>
      <x:c r="H433" s="39" t="n">
        <x:v>1</x:v>
      </x:c>
      <x:c r="I433" s="39" t="n">
        <x:v>1</x:v>
      </x:c>
      <x:c r="J433" s="40" t="n">
        <x:f>B433/1000000000</x:f>
        <x:v>38.7</x:v>
      </x:c>
      <x:c r="K433" s="41" t="n">
        <x:f>IF(C433&lt;0,NA(),(F433-B433)/1000000)</x:f>
        <x:v>0.076702</x:v>
      </x:c>
      <x:c r="L433" s="39" t="n">
        <x:f>IF(C433&lt;0,1,IF(OR(G433=0,H433=0,I433=0,F433-B433&gt;100000000),1,0))</x:f>
        <x:v>0</x:v>
      </x:c>
      <x:c r="M433" s="39" t="n">
        <x:f>IF(C433&lt;0,1,0)</x:f>
        <x:v>0</x:v>
      </x:c>
      <x:c r="N433" s="1"/>
      <x:c r="O433" s="1"/>
      <x:c r="P433" s="1"/>
      <x:c r="Q433" s="1"/>
      <x:c r="R433" s="1"/>
    </x:row>
    <x:row r="434" ht="22" customHeight="1">
      <x:c r="A434" s="39" t="n">
        <x:v>388</x:v>
      </x:c>
      <x:c r="B434" s="39" t="n">
        <x:v>38800000000</x:v>
      </x:c>
      <x:c r="C434" s="39" t="n">
        <x:v>38800056138</x:v>
      </x:c>
      <x:c r="D434" s="39" t="n">
        <x:v>38800070841</x:v>
      </x:c>
      <x:c r="E434" s="39" t="n">
        <x:v>38800084452</x:v>
      </x:c>
      <x:c r="F434" s="39" t="n">
        <x:v>38800094156</x:v>
      </x:c>
      <x:c r="G434" s="39" t="n">
        <x:v>1</x:v>
      </x:c>
      <x:c r="H434" s="39" t="n">
        <x:v>1</x:v>
      </x:c>
      <x:c r="I434" s="39" t="n">
        <x:v>1</x:v>
      </x:c>
      <x:c r="J434" s="40" t="n">
        <x:f>B434/1000000000</x:f>
        <x:v>38.8</x:v>
      </x:c>
      <x:c r="K434" s="41" t="n">
        <x:f>IF(C434&lt;0,NA(),(F434-B434)/1000000)</x:f>
        <x:v>0.094156</x:v>
      </x:c>
      <x:c r="L434" s="39" t="n">
        <x:f>IF(C434&lt;0,1,IF(OR(G434=0,H434=0,I434=0,F434-B434&gt;100000000),1,0))</x:f>
        <x:v>0</x:v>
      </x:c>
      <x:c r="M434" s="39" t="n">
        <x:f>IF(C434&lt;0,1,0)</x:f>
        <x:v>0</x:v>
      </x:c>
      <x:c r="N434" s="1"/>
      <x:c r="O434" s="1"/>
      <x:c r="P434" s="1"/>
      <x:c r="Q434" s="1"/>
      <x:c r="R434" s="1"/>
    </x:row>
    <x:row r="435" ht="22" customHeight="1">
      <x:c r="A435" s="39" t="n">
        <x:v>389</x:v>
      </x:c>
      <x:c r="B435" s="39" t="n">
        <x:v>38900000000</x:v>
      </x:c>
      <x:c r="C435" s="39" t="n">
        <x:v>38900056951</x:v>
      </x:c>
      <x:c r="D435" s="39" t="n">
        <x:v>38900084765</x:v>
      </x:c>
      <x:c r="E435" s="39" t="n">
        <x:v>38900105932</x:v>
      </x:c>
      <x:c r="F435" s="39" t="n">
        <x:v>38900116006</x:v>
      </x:c>
      <x:c r="G435" s="39" t="n">
        <x:v>1</x:v>
      </x:c>
      <x:c r="H435" s="39" t="n">
        <x:v>1</x:v>
      </x:c>
      <x:c r="I435" s="39" t="n">
        <x:v>1</x:v>
      </x:c>
      <x:c r="J435" s="40" t="n">
        <x:f>B435/1000000000</x:f>
        <x:v>38.9</x:v>
      </x:c>
      <x:c r="K435" s="41" t="n">
        <x:f>IF(C435&lt;0,NA(),(F435-B435)/1000000)</x:f>
        <x:v>0.116006</x:v>
      </x:c>
      <x:c r="L435" s="39" t="n">
        <x:f>IF(C435&lt;0,1,IF(OR(G435=0,H435=0,I435=0,F435-B435&gt;100000000),1,0))</x:f>
        <x:v>0</x:v>
      </x:c>
      <x:c r="M435" s="39" t="n">
        <x:f>IF(C435&lt;0,1,0)</x:f>
        <x:v>0</x:v>
      </x:c>
      <x:c r="N435" s="1"/>
      <x:c r="O435" s="1"/>
      <x:c r="P435" s="1"/>
      <x:c r="Q435" s="1"/>
      <x:c r="R435" s="1"/>
    </x:row>
    <x:row r="436" ht="22" customHeight="1">
      <x:c r="A436" s="39" t="n">
        <x:v>390</x:v>
      </x:c>
      <x:c r="B436" s="39" t="n">
        <x:v>39000000000</x:v>
      </x:c>
      <x:c r="C436" s="39" t="n">
        <x:v>39000059766</x:v>
      </x:c>
      <x:c r="D436" s="39" t="n">
        <x:v>39000092950</x:v>
      </x:c>
      <x:c r="E436" s="39" t="n">
        <x:v>39000118246</x:v>
      </x:c>
      <x:c r="F436" s="39" t="n">
        <x:v>39000128727</x:v>
      </x:c>
      <x:c r="G436" s="39" t="n">
        <x:v>1</x:v>
      </x:c>
      <x:c r="H436" s="39" t="n">
        <x:v>1</x:v>
      </x:c>
      <x:c r="I436" s="39" t="n">
        <x:v>1</x:v>
      </x:c>
      <x:c r="J436" s="40" t="n">
        <x:f>B436/1000000000</x:f>
        <x:v>39</x:v>
      </x:c>
      <x:c r="K436" s="41" t="n">
        <x:f>IF(C436&lt;0,NA(),(F436-B436)/1000000)</x:f>
        <x:v>0.128727</x:v>
      </x:c>
      <x:c r="L436" s="39" t="n">
        <x:f>IF(C436&lt;0,1,IF(OR(G436=0,H436=0,I436=0,F436-B436&gt;100000000),1,0))</x:f>
        <x:v>0</x:v>
      </x:c>
      <x:c r="M436" s="39" t="n">
        <x:f>IF(C436&lt;0,1,0)</x:f>
        <x:v>0</x:v>
      </x:c>
      <x:c r="N436" s="1"/>
      <x:c r="O436" s="1"/>
      <x:c r="P436" s="1"/>
      <x:c r="Q436" s="1"/>
      <x:c r="R436" s="1"/>
    </x:row>
    <x:row r="437" ht="22" customHeight="1">
      <x:c r="A437" s="39" t="n">
        <x:v>391</x:v>
      </x:c>
      <x:c r="B437" s="39" t="n">
        <x:v>39100000000</x:v>
      </x:c>
      <x:c r="C437" s="39" t="n">
        <x:v>39100063709</x:v>
      </x:c>
      <x:c r="D437" s="39" t="n">
        <x:v>39100094820</x:v>
      </x:c>
      <x:c r="E437" s="39" t="n">
        <x:v>39100128190</x:v>
      </x:c>
      <x:c r="F437" s="39" t="n">
        <x:v>39100139560</x:v>
      </x:c>
      <x:c r="G437" s="39" t="n">
        <x:v>1</x:v>
      </x:c>
      <x:c r="H437" s="39" t="n">
        <x:v>1</x:v>
      </x:c>
      <x:c r="I437" s="39" t="n">
        <x:v>1</x:v>
      </x:c>
      <x:c r="J437" s="40" t="n">
        <x:f>B437/1000000000</x:f>
        <x:v>39.1</x:v>
      </x:c>
      <x:c r="K437" s="41" t="n">
        <x:f>IF(C437&lt;0,NA(),(F437-B437)/1000000)</x:f>
        <x:v>0.13956</x:v>
      </x:c>
      <x:c r="L437" s="39" t="n">
        <x:f>IF(C437&lt;0,1,IF(OR(G437=0,H437=0,I437=0,F437-B437&gt;100000000),1,0))</x:f>
        <x:v>0</x:v>
      </x:c>
      <x:c r="M437" s="39" t="n">
        <x:f>IF(C437&lt;0,1,0)</x:f>
        <x:v>0</x:v>
      </x:c>
      <x:c r="N437" s="1"/>
      <x:c r="O437" s="1"/>
      <x:c r="P437" s="1"/>
      <x:c r="Q437" s="1"/>
      <x:c r="R437" s="1"/>
    </x:row>
    <x:row r="438" ht="22" customHeight="1">
      <x:c r="A438" s="39" t="n">
        <x:v>392</x:v>
      </x:c>
      <x:c r="B438" s="39" t="n">
        <x:v>39200000000</x:v>
      </x:c>
      <x:c r="C438" s="39" t="n">
        <x:v>39200055524</x:v>
      </x:c>
      <x:c r="D438" s="39" t="n">
        <x:v>39200068264</x:v>
      </x:c>
      <x:c r="E438" s="39" t="n">
        <x:v>39200081394</x:v>
      </x:c>
      <x:c r="F438" s="39" t="n">
        <x:v>39200090949</x:v>
      </x:c>
      <x:c r="G438" s="39" t="n">
        <x:v>1</x:v>
      </x:c>
      <x:c r="H438" s="39" t="n">
        <x:v>1</x:v>
      </x:c>
      <x:c r="I438" s="39" t="n">
        <x:v>1</x:v>
      </x:c>
      <x:c r="J438" s="40" t="n">
        <x:f>B438/1000000000</x:f>
        <x:v>39.2</x:v>
      </x:c>
      <x:c r="K438" s="41" t="n">
        <x:f>IF(C438&lt;0,NA(),(F438-B438)/1000000)</x:f>
        <x:v>0.090949</x:v>
      </x:c>
      <x:c r="L438" s="39" t="n">
        <x:f>IF(C438&lt;0,1,IF(OR(G438=0,H438=0,I438=0,F438-B438&gt;100000000),1,0))</x:f>
        <x:v>0</x:v>
      </x:c>
      <x:c r="M438" s="39" t="n">
        <x:f>IF(C438&lt;0,1,0)</x:f>
        <x:v>0</x:v>
      </x:c>
      <x:c r="N438" s="1"/>
      <x:c r="O438" s="1"/>
      <x:c r="P438" s="1"/>
      <x:c r="Q438" s="1"/>
      <x:c r="R438" s="1"/>
    </x:row>
    <x:row r="439" ht="22" customHeight="1">
      <x:c r="A439" s="39" t="n">
        <x:v>393</x:v>
      </x:c>
      <x:c r="B439" s="39" t="n">
        <x:v>39300000000</x:v>
      </x:c>
      <x:c r="C439" s="39" t="n">
        <x:v>39300054172</x:v>
      </x:c>
      <x:c r="D439" s="39" t="n">
        <x:v>39300064172</x:v>
      </x:c>
      <x:c r="E439" s="39" t="n">
        <x:v>39300075486</x:v>
      </x:c>
      <x:c r="F439" s="39" t="n">
        <x:v>39300085023</x:v>
      </x:c>
      <x:c r="G439" s="39" t="n">
        <x:v>1</x:v>
      </x:c>
      <x:c r="H439" s="39" t="n">
        <x:v>1</x:v>
      </x:c>
      <x:c r="I439" s="39" t="n">
        <x:v>1</x:v>
      </x:c>
      <x:c r="J439" s="40" t="n">
        <x:f>B439/1000000000</x:f>
        <x:v>39.3</x:v>
      </x:c>
      <x:c r="K439" s="41" t="n">
        <x:f>IF(C439&lt;0,NA(),(F439-B439)/1000000)</x:f>
        <x:v>0.085023</x:v>
      </x:c>
      <x:c r="L439" s="39" t="n">
        <x:f>IF(C439&lt;0,1,IF(OR(G439=0,H439=0,I439=0,F439-B439&gt;100000000),1,0))</x:f>
        <x:v>0</x:v>
      </x:c>
      <x:c r="M439" s="39" t="n">
        <x:f>IF(C439&lt;0,1,0)</x:f>
        <x:v>0</x:v>
      </x:c>
      <x:c r="N439" s="1"/>
      <x:c r="O439" s="1"/>
      <x:c r="P439" s="1"/>
      <x:c r="Q439" s="1"/>
      <x:c r="R439" s="1"/>
    </x:row>
    <x:row r="440" ht="22" customHeight="1">
      <x:c r="A440" s="39" t="n">
        <x:v>394</x:v>
      </x:c>
      <x:c r="B440" s="39" t="n">
        <x:v>39400000000</x:v>
      </x:c>
      <x:c r="C440" s="39" t="n">
        <x:v>39400053394</x:v>
      </x:c>
      <x:c r="D440" s="39" t="n">
        <x:v>39400060245</x:v>
      </x:c>
      <x:c r="E440" s="39" t="n">
        <x:v>39400068486</x:v>
      </x:c>
      <x:c r="F440" s="39" t="n">
        <x:v>39400077986</x:v>
      </x:c>
      <x:c r="G440" s="39" t="n">
        <x:v>1</x:v>
      </x:c>
      <x:c r="H440" s="39" t="n">
        <x:v>1</x:v>
      </x:c>
      <x:c r="I440" s="39" t="n">
        <x:v>1</x:v>
      </x:c>
      <x:c r="J440" s="40" t="n">
        <x:f>B440/1000000000</x:f>
        <x:v>39.4</x:v>
      </x:c>
      <x:c r="K440" s="41" t="n">
        <x:f>IF(C440&lt;0,NA(),(F440-B440)/1000000)</x:f>
        <x:v>0.077986</x:v>
      </x:c>
      <x:c r="L440" s="39" t="n">
        <x:f>IF(C440&lt;0,1,IF(OR(G440=0,H440=0,I440=0,F440-B440&gt;100000000),1,0))</x:f>
        <x:v>0</x:v>
      </x:c>
      <x:c r="M440" s="39" t="n">
        <x:f>IF(C440&lt;0,1,0)</x:f>
        <x:v>0</x:v>
      </x:c>
      <x:c r="N440" s="1"/>
      <x:c r="O440" s="1"/>
      <x:c r="P440" s="1"/>
      <x:c r="Q440" s="1"/>
      <x:c r="R440" s="1"/>
    </x:row>
    <x:row r="441" ht="22" customHeight="1">
      <x:c r="A441" s="39" t="n">
        <x:v>395</x:v>
      </x:c>
      <x:c r="B441" s="39" t="n">
        <x:v>39500000000</x:v>
      </x:c>
      <x:c r="C441" s="39" t="n">
        <x:v>39500057763</x:v>
      </x:c>
      <x:c r="D441" s="39" t="n">
        <x:v>39500091800</x:v>
      </x:c>
      <x:c r="E441" s="39" t="n">
        <x:v>39500118577</x:v>
      </x:c>
      <x:c r="F441" s="39" t="n">
        <x:v>39500128762</x:v>
      </x:c>
      <x:c r="G441" s="39" t="n">
        <x:v>1</x:v>
      </x:c>
      <x:c r="H441" s="39" t="n">
        <x:v>1</x:v>
      </x:c>
      <x:c r="I441" s="39" t="n">
        <x:v>1</x:v>
      </x:c>
      <x:c r="J441" s="40" t="n">
        <x:f>B441/1000000000</x:f>
        <x:v>39.5</x:v>
      </x:c>
      <x:c r="K441" s="41" t="n">
        <x:f>IF(C441&lt;0,NA(),(F441-B441)/1000000)</x:f>
        <x:v>0.128762</x:v>
      </x:c>
      <x:c r="L441" s="39" t="n">
        <x:f>IF(C441&lt;0,1,IF(OR(G441=0,H441=0,I441=0,F441-B441&gt;100000000),1,0))</x:f>
        <x:v>0</x:v>
      </x:c>
      <x:c r="M441" s="39" t="n">
        <x:f>IF(C441&lt;0,1,0)</x:f>
        <x:v>0</x:v>
      </x:c>
      <x:c r="N441" s="1"/>
      <x:c r="O441" s="1"/>
      <x:c r="P441" s="1"/>
      <x:c r="Q441" s="1"/>
      <x:c r="R441" s="1"/>
    </x:row>
    <x:row r="442" ht="22" customHeight="1">
      <x:c r="A442" s="39" t="n">
        <x:v>396</x:v>
      </x:c>
      <x:c r="B442" s="39" t="n">
        <x:v>39600000000</x:v>
      </x:c>
      <x:c r="C442" s="39" t="n">
        <x:v>39600060911</x:v>
      </x:c>
      <x:c r="D442" s="39" t="n">
        <x:v>39600114706</x:v>
      </x:c>
      <x:c r="E442" s="39" t="n">
        <x:v>39600151576</x:v>
      </x:c>
      <x:c r="F442" s="39" t="n">
        <x:v>39600162205</x:v>
      </x:c>
      <x:c r="G442" s="39" t="n">
        <x:v>1</x:v>
      </x:c>
      <x:c r="H442" s="39" t="n">
        <x:v>1</x:v>
      </x:c>
      <x:c r="I442" s="39" t="n">
        <x:v>1</x:v>
      </x:c>
      <x:c r="J442" s="40" t="n">
        <x:f>B442/1000000000</x:f>
        <x:v>39.6</x:v>
      </x:c>
      <x:c r="K442" s="41" t="n">
        <x:f>IF(C442&lt;0,NA(),(F442-B442)/1000000)</x:f>
        <x:v>0.162205</x:v>
      </x:c>
      <x:c r="L442" s="39" t="n">
        <x:f>IF(C442&lt;0,1,IF(OR(G442=0,H442=0,I442=0,F442-B442&gt;100000000),1,0))</x:f>
        <x:v>0</x:v>
      </x:c>
      <x:c r="M442" s="39" t="n">
        <x:f>IF(C442&lt;0,1,0)</x:f>
        <x:v>0</x:v>
      </x:c>
      <x:c r="N442" s="1"/>
      <x:c r="O442" s="1"/>
      <x:c r="P442" s="1"/>
      <x:c r="Q442" s="1"/>
      <x:c r="R442" s="1"/>
    </x:row>
    <x:row r="443" ht="22" customHeight="1">
      <x:c r="A443" s="39" t="n">
        <x:v>397</x:v>
      </x:c>
      <x:c r="B443" s="39" t="n">
        <x:v>39700000000</x:v>
      </x:c>
      <x:c r="C443" s="39" t="n">
        <x:v>39700053688</x:v>
      </x:c>
      <x:c r="D443" s="39" t="n">
        <x:v>39700062744</x:v>
      </x:c>
      <x:c r="E443" s="39" t="n">
        <x:v>39700071910</x:v>
      </x:c>
      <x:c r="F443" s="39" t="n">
        <x:v>39700081243</x:v>
      </x:c>
      <x:c r="G443" s="39" t="n">
        <x:v>1</x:v>
      </x:c>
      <x:c r="H443" s="39" t="n">
        <x:v>1</x:v>
      </x:c>
      <x:c r="I443" s="39" t="n">
        <x:v>1</x:v>
      </x:c>
      <x:c r="J443" s="40" t="n">
        <x:f>B443/1000000000</x:f>
        <x:v>39.7</x:v>
      </x:c>
      <x:c r="K443" s="41" t="n">
        <x:f>IF(C443&lt;0,NA(),(F443-B443)/1000000)</x:f>
        <x:v>0.081243</x:v>
      </x:c>
      <x:c r="L443" s="39" t="n">
        <x:f>IF(C443&lt;0,1,IF(OR(G443=0,H443=0,I443=0,F443-B443&gt;100000000),1,0))</x:f>
        <x:v>0</x:v>
      </x:c>
      <x:c r="M443" s="39" t="n">
        <x:f>IF(C443&lt;0,1,0)</x:f>
        <x:v>0</x:v>
      </x:c>
      <x:c r="N443" s="1"/>
      <x:c r="O443" s="1"/>
      <x:c r="P443" s="1"/>
      <x:c r="Q443" s="1"/>
      <x:c r="R443" s="1"/>
    </x:row>
    <x:row r="444" ht="22" customHeight="1">
      <x:c r="A444" s="39" t="n">
        <x:v>398</x:v>
      </x:c>
      <x:c r="B444" s="39" t="n">
        <x:v>39800000000</x:v>
      </x:c>
      <x:c r="C444" s="39" t="n">
        <x:v>39800052336</x:v>
      </x:c>
      <x:c r="D444" s="39" t="n">
        <x:v>39800060114</x:v>
      </x:c>
      <x:c r="E444" s="39" t="n">
        <x:v>39800068502</x:v>
      </x:c>
      <x:c r="F444" s="39" t="n">
        <x:v>39800078150</x:v>
      </x:c>
      <x:c r="G444" s="39" t="n">
        <x:v>1</x:v>
      </x:c>
      <x:c r="H444" s="39" t="n">
        <x:v>1</x:v>
      </x:c>
      <x:c r="I444" s="39" t="n">
        <x:v>1</x:v>
      </x:c>
      <x:c r="J444" s="40" t="n">
        <x:f>B444/1000000000</x:f>
        <x:v>39.8</x:v>
      </x:c>
      <x:c r="K444" s="41" t="n">
        <x:f>IF(C444&lt;0,NA(),(F444-B444)/1000000)</x:f>
        <x:v>0.07815</x:v>
      </x:c>
      <x:c r="L444" s="39" t="n">
        <x:f>IF(C444&lt;0,1,IF(OR(G444=0,H444=0,I444=0,F444-B444&gt;100000000),1,0))</x:f>
        <x:v>0</x:v>
      </x:c>
      <x:c r="M444" s="39" t="n">
        <x:f>IF(C444&lt;0,1,0)</x:f>
        <x:v>0</x:v>
      </x:c>
      <x:c r="N444" s="1"/>
      <x:c r="O444" s="1"/>
      <x:c r="P444" s="1"/>
      <x:c r="Q444" s="1"/>
      <x:c r="R444" s="1"/>
    </x:row>
    <x:row r="445" ht="22" customHeight="1">
      <x:c r="A445" s="39" t="n">
        <x:v>399</x:v>
      </x:c>
      <x:c r="B445" s="39" t="n">
        <x:v>39900000000</x:v>
      </x:c>
      <x:c r="C445" s="39" t="n">
        <x:v>39900054764</x:v>
      </x:c>
      <x:c r="D445" s="39" t="n">
        <x:v>39900067634</x:v>
      </x:c>
      <x:c r="E445" s="39" t="n">
        <x:v>39900081411</x:v>
      </x:c>
      <x:c r="F445" s="39" t="n">
        <x:v>39900091800</x:v>
      </x:c>
      <x:c r="G445" s="39" t="n">
        <x:v>1</x:v>
      </x:c>
      <x:c r="H445" s="39" t="n">
        <x:v>1</x:v>
      </x:c>
      <x:c r="I445" s="39" t="n">
        <x:v>1</x:v>
      </x:c>
      <x:c r="J445" s="40" t="n">
        <x:f>B445/1000000000</x:f>
        <x:v>39.9</x:v>
      </x:c>
      <x:c r="K445" s="41" t="n">
        <x:f>IF(C445&lt;0,NA(),(F445-B445)/1000000)</x:f>
        <x:v>0.0918</x:v>
      </x:c>
      <x:c r="L445" s="39" t="n">
        <x:f>IF(C445&lt;0,1,IF(OR(G445=0,H445=0,I445=0,F445-B445&gt;100000000),1,0))</x:f>
        <x:v>0</x:v>
      </x:c>
      <x:c r="M445" s="39" t="n">
        <x:f>IF(C445&lt;0,1,0)</x:f>
        <x:v>0</x:v>
      </x:c>
      <x:c r="N445" s="1"/>
      <x:c r="O445" s="1"/>
      <x:c r="P445" s="1"/>
      <x:c r="Q445" s="1"/>
      <x:c r="R445" s="1"/>
    </x:row>
    <x:row r="446" ht="22" customHeight="1">
      <x:c r="A446" s="39" t="n">
        <x:v>400</x:v>
      </x:c>
      <x:c r="B446" s="39" t="n">
        <x:v>40000000000</x:v>
      </x:c>
      <x:c r="C446" s="39" t="n">
        <x:v>40000054898</x:v>
      </x:c>
      <x:c r="D446" s="39" t="n">
        <x:v>40000066249</x:v>
      </x:c>
      <x:c r="E446" s="39" t="n">
        <x:v>40000078249</x:v>
      </x:c>
      <x:c r="F446" s="39" t="n">
        <x:v>40000087712</x:v>
      </x:c>
      <x:c r="G446" s="39" t="n">
        <x:v>1</x:v>
      </x:c>
      <x:c r="H446" s="39" t="n">
        <x:v>1</x:v>
      </x:c>
      <x:c r="I446" s="39" t="n">
        <x:v>1</x:v>
      </x:c>
      <x:c r="J446" s="40" t="n">
        <x:f>B446/1000000000</x:f>
        <x:v>40</x:v>
      </x:c>
      <x:c r="K446" s="41" t="n">
        <x:f>IF(C446&lt;0,NA(),(F446-B446)/1000000)</x:f>
        <x:v>0.087712</x:v>
      </x:c>
      <x:c r="L446" s="39" t="n">
        <x:f>IF(C446&lt;0,1,IF(OR(G446=0,H446=0,I446=0,F446-B446&gt;100000000),1,0))</x:f>
        <x:v>0</x:v>
      </x:c>
      <x:c r="M446" s="39" t="n">
        <x:f>IF(C446&lt;0,1,0)</x:f>
        <x:v>0</x:v>
      </x:c>
      <x:c r="N446" s="1"/>
      <x:c r="O446" s="1"/>
      <x:c r="P446" s="1"/>
      <x:c r="Q446" s="1"/>
      <x:c r="R446" s="1"/>
    </x:row>
    <x:row r="447" ht="22" customHeight="1">
      <x:c r="A447" s="39" t="n">
        <x:v>401</x:v>
      </x:c>
      <x:c r="B447" s="39" t="n">
        <x:v>40100000000</x:v>
      </x:c>
      <x:c r="C447" s="39" t="n">
        <x:v>40100053568</x:v>
      </x:c>
      <x:c r="D447" s="39" t="n">
        <x:v>40100060790</x:v>
      </x:c>
      <x:c r="E447" s="39" t="n">
        <x:v>40100069309</x:v>
      </x:c>
      <x:c r="F447" s="39" t="n">
        <x:v>40100078642</x:v>
      </x:c>
      <x:c r="G447" s="39" t="n">
        <x:v>1</x:v>
      </x:c>
      <x:c r="H447" s="39" t="n">
        <x:v>1</x:v>
      </x:c>
      <x:c r="I447" s="39" t="n">
        <x:v>1</x:v>
      </x:c>
      <x:c r="J447" s="40" t="n">
        <x:f>B447/1000000000</x:f>
        <x:v>40.1</x:v>
      </x:c>
      <x:c r="K447" s="41" t="n">
        <x:f>IF(C447&lt;0,NA(),(F447-B447)/1000000)</x:f>
        <x:v>0.078642</x:v>
      </x:c>
      <x:c r="L447" s="39" t="n">
        <x:f>IF(C447&lt;0,1,IF(OR(G447=0,H447=0,I447=0,F447-B447&gt;100000000),1,0))</x:f>
        <x:v>0</x:v>
      </x:c>
      <x:c r="M447" s="39" t="n">
        <x:f>IF(C447&lt;0,1,0)</x:f>
        <x:v>0</x:v>
      </x:c>
      <x:c r="N447" s="1"/>
      <x:c r="O447" s="1"/>
      <x:c r="P447" s="1"/>
      <x:c r="Q447" s="1"/>
      <x:c r="R447" s="1"/>
    </x:row>
    <x:row r="448" ht="22" customHeight="1">
      <x:c r="A448" s="39" t="n">
        <x:v>402</x:v>
      </x:c>
      <x:c r="B448" s="39" t="n">
        <x:v>40200000000</x:v>
      </x:c>
      <x:c r="C448" s="39" t="n">
        <x:v>40200059702</x:v>
      </x:c>
      <x:c r="D448" s="39" t="n">
        <x:v>40200101627</x:v>
      </x:c>
      <x:c r="E448" s="39" t="n">
        <x:v>40200133404</x:v>
      </x:c>
      <x:c r="F448" s="39" t="n">
        <x:v>40200143663</x:v>
      </x:c>
      <x:c r="G448" s="39" t="n">
        <x:v>1</x:v>
      </x:c>
      <x:c r="H448" s="39" t="n">
        <x:v>1</x:v>
      </x:c>
      <x:c r="I448" s="39" t="n">
        <x:v>1</x:v>
      </x:c>
      <x:c r="J448" s="40" t="n">
        <x:f>B448/1000000000</x:f>
        <x:v>40.2</x:v>
      </x:c>
      <x:c r="K448" s="41" t="n">
        <x:f>IF(C448&lt;0,NA(),(F448-B448)/1000000)</x:f>
        <x:v>0.143663</x:v>
      </x:c>
      <x:c r="L448" s="39" t="n">
        <x:f>IF(C448&lt;0,1,IF(OR(G448=0,H448=0,I448=0,F448-B448&gt;100000000),1,0))</x:f>
        <x:v>0</x:v>
      </x:c>
      <x:c r="M448" s="39" t="n">
        <x:f>IF(C448&lt;0,1,0)</x:f>
        <x:v>0</x:v>
      </x:c>
      <x:c r="N448" s="1"/>
      <x:c r="O448" s="1"/>
      <x:c r="P448" s="1"/>
      <x:c r="Q448" s="1"/>
      <x:c r="R448" s="1"/>
    </x:row>
    <x:row r="449" ht="22" customHeight="1">
      <x:c r="A449" s="39" t="n">
        <x:v>403</x:v>
      </x:c>
      <x:c r="B449" s="39" t="n">
        <x:v>40300000000</x:v>
      </x:c>
      <x:c r="C449" s="39" t="n">
        <x:v>40300054262</x:v>
      </x:c>
      <x:c r="D449" s="39" t="n">
        <x:v>40300064650</x:v>
      </x:c>
      <x:c r="E449" s="39" t="n">
        <x:v>40300075761</x:v>
      </x:c>
      <x:c r="F449" s="39" t="n">
        <x:v>40300085279</x:v>
      </x:c>
      <x:c r="G449" s="39" t="n">
        <x:v>1</x:v>
      </x:c>
      <x:c r="H449" s="39" t="n">
        <x:v>1</x:v>
      </x:c>
      <x:c r="I449" s="39" t="n">
        <x:v>1</x:v>
      </x:c>
      <x:c r="J449" s="40" t="n">
        <x:f>B449/1000000000</x:f>
        <x:v>40.3</x:v>
      </x:c>
      <x:c r="K449" s="41" t="n">
        <x:f>IF(C449&lt;0,NA(),(F449-B449)/1000000)</x:f>
        <x:v>0.085279</x:v>
      </x:c>
      <x:c r="L449" s="39" t="n">
        <x:f>IF(C449&lt;0,1,IF(OR(G449=0,H449=0,I449=0,F449-B449&gt;100000000),1,0))</x:f>
        <x:v>0</x:v>
      </x:c>
      <x:c r="M449" s="39" t="n">
        <x:f>IF(C449&lt;0,1,0)</x:f>
        <x:v>0</x:v>
      </x:c>
      <x:c r="N449" s="1"/>
      <x:c r="O449" s="1"/>
      <x:c r="P449" s="1"/>
      <x:c r="Q449" s="1"/>
      <x:c r="R449" s="1"/>
    </x:row>
    <x:row r="450" ht="22" customHeight="1">
      <x:c r="A450" s="39" t="n">
        <x:v>404</x:v>
      </x:c>
      <x:c r="B450" s="39" t="n">
        <x:v>40400000000</x:v>
      </x:c>
      <x:c r="C450" s="39" t="n">
        <x:v>40400055173</x:v>
      </x:c>
      <x:c r="D450" s="39" t="n">
        <x:v>40400069765</x:v>
      </x:c>
      <x:c r="E450" s="39" t="n">
        <x:v>40400084098</x:v>
      </x:c>
      <x:c r="F450" s="39" t="n">
        <x:v>40400093728</x:v>
      </x:c>
      <x:c r="G450" s="39" t="n">
        <x:v>1</x:v>
      </x:c>
      <x:c r="H450" s="39" t="n">
        <x:v>1</x:v>
      </x:c>
      <x:c r="I450" s="39" t="n">
        <x:v>1</x:v>
      </x:c>
      <x:c r="J450" s="40" t="n">
        <x:f>B450/1000000000</x:f>
        <x:v>40.4</x:v>
      </x:c>
      <x:c r="K450" s="41" t="n">
        <x:f>IF(C450&lt;0,NA(),(F450-B450)/1000000)</x:f>
        <x:v>0.093728</x:v>
      </x:c>
      <x:c r="L450" s="39" t="n">
        <x:f>IF(C450&lt;0,1,IF(OR(G450=0,H450=0,I450=0,F450-B450&gt;100000000),1,0))</x:f>
        <x:v>0</x:v>
      </x:c>
      <x:c r="M450" s="39" t="n">
        <x:f>IF(C450&lt;0,1,0)</x:f>
        <x:v>0</x:v>
      </x:c>
      <x:c r="N450" s="1"/>
      <x:c r="O450" s="1"/>
      <x:c r="P450" s="1"/>
      <x:c r="Q450" s="1"/>
      <x:c r="R450" s="1"/>
    </x:row>
    <x:row r="451" ht="22" customHeight="1">
      <x:c r="A451" s="39" t="n">
        <x:v>405</x:v>
      </x:c>
      <x:c r="B451" s="39" t="n">
        <x:v>40500000000</x:v>
      </x:c>
      <x:c r="C451" s="39" t="n">
        <x:v>40500055010</x:v>
      </x:c>
      <x:c r="D451" s="39" t="n">
        <x:v>40500065825</x:v>
      </x:c>
      <x:c r="E451" s="39" t="n">
        <x:v>40500076880</x:v>
      </x:c>
      <x:c r="F451" s="39" t="n">
        <x:v>40500086214</x:v>
      </x:c>
      <x:c r="G451" s="39" t="n">
        <x:v>1</x:v>
      </x:c>
      <x:c r="H451" s="39" t="n">
        <x:v>1</x:v>
      </x:c>
      <x:c r="I451" s="39" t="n">
        <x:v>1</x:v>
      </x:c>
      <x:c r="J451" s="40" t="n">
        <x:f>B451/1000000000</x:f>
        <x:v>40.5</x:v>
      </x:c>
      <x:c r="K451" s="41" t="n">
        <x:f>IF(C451&lt;0,NA(),(F451-B451)/1000000)</x:f>
        <x:v>0.086214</x:v>
      </x:c>
      <x:c r="L451" s="39" t="n">
        <x:f>IF(C451&lt;0,1,IF(OR(G451=0,H451=0,I451=0,F451-B451&gt;100000000),1,0))</x:f>
        <x:v>0</x:v>
      </x:c>
      <x:c r="M451" s="39" t="n">
        <x:f>IF(C451&lt;0,1,0)</x:f>
        <x:v>0</x:v>
      </x:c>
      <x:c r="N451" s="1"/>
      <x:c r="O451" s="1"/>
      <x:c r="P451" s="1"/>
      <x:c r="Q451" s="1"/>
      <x:c r="R451" s="1"/>
    </x:row>
    <x:row r="452" ht="22" customHeight="1">
      <x:c r="A452" s="39" t="n">
        <x:v>406</x:v>
      </x:c>
      <x:c r="B452" s="39" t="n">
        <x:v>40600000000</x:v>
      </x:c>
      <x:c r="C452" s="39" t="n">
        <x:v>40600053607</x:v>
      </x:c>
      <x:c r="D452" s="39" t="n">
        <x:v>40600060588</x:v>
      </x:c>
      <x:c r="E452" s="39" t="n">
        <x:v>40600069273</x:v>
      </x:c>
      <x:c r="F452" s="39" t="n">
        <x:v>40600078625</x:v>
      </x:c>
      <x:c r="G452" s="39" t="n">
        <x:v>1</x:v>
      </x:c>
      <x:c r="H452" s="39" t="n">
        <x:v>1</x:v>
      </x:c>
      <x:c r="I452" s="39" t="n">
        <x:v>1</x:v>
      </x:c>
      <x:c r="J452" s="40" t="n">
        <x:f>B452/1000000000</x:f>
        <x:v>40.6</x:v>
      </x:c>
      <x:c r="K452" s="41" t="n">
        <x:f>IF(C452&lt;0,NA(),(F452-B452)/1000000)</x:f>
        <x:v>0.078625</x:v>
      </x:c>
      <x:c r="L452" s="39" t="n">
        <x:f>IF(C452&lt;0,1,IF(OR(G452=0,H452=0,I452=0,F452-B452&gt;100000000),1,0))</x:f>
        <x:v>0</x:v>
      </x:c>
      <x:c r="M452" s="39" t="n">
        <x:f>IF(C452&lt;0,1,0)</x:f>
        <x:v>0</x:v>
      </x:c>
      <x:c r="N452" s="1"/>
      <x:c r="O452" s="1"/>
      <x:c r="P452" s="1"/>
      <x:c r="Q452" s="1"/>
      <x:c r="R452" s="1"/>
    </x:row>
    <x:row r="453" ht="22" customHeight="1">
      <x:c r="A453" s="39" t="n">
        <x:v>407</x:v>
      </x:c>
      <x:c r="B453" s="39" t="n">
        <x:v>40700000000</x:v>
      </x:c>
      <x:c r="C453" s="39" t="n">
        <x:v>40700055315</x:v>
      </x:c>
      <x:c r="D453" s="39" t="n">
        <x:v>40700066611</x:v>
      </x:c>
      <x:c r="E453" s="39" t="n">
        <x:v>40700078166</x:v>
      </x:c>
      <x:c r="F453" s="39" t="n">
        <x:v>40700087648</x:v>
      </x:c>
      <x:c r="G453" s="39" t="n">
        <x:v>1</x:v>
      </x:c>
      <x:c r="H453" s="39" t="n">
        <x:v>1</x:v>
      </x:c>
      <x:c r="I453" s="39" t="n">
        <x:v>1</x:v>
      </x:c>
      <x:c r="J453" s="40" t="n">
        <x:f>B453/1000000000</x:f>
        <x:v>40.7</x:v>
      </x:c>
      <x:c r="K453" s="41" t="n">
        <x:f>IF(C453&lt;0,NA(),(F453-B453)/1000000)</x:f>
        <x:v>0.087648</x:v>
      </x:c>
      <x:c r="L453" s="39" t="n">
        <x:f>IF(C453&lt;0,1,IF(OR(G453=0,H453=0,I453=0,F453-B453&gt;100000000),1,0))</x:f>
        <x:v>0</x:v>
      </x:c>
      <x:c r="M453" s="39" t="n">
        <x:f>IF(C453&lt;0,1,0)</x:f>
        <x:v>0</x:v>
      </x:c>
      <x:c r="N453" s="1"/>
      <x:c r="O453" s="1"/>
      <x:c r="P453" s="1"/>
      <x:c r="Q453" s="1"/>
      <x:c r="R453" s="1"/>
    </x:row>
    <x:row r="454" ht="22" customHeight="1">
      <x:c r="A454" s="39" t="n">
        <x:v>408</x:v>
      </x:c>
      <x:c r="B454" s="39" t="n">
        <x:v>40800000000</x:v>
      </x:c>
      <x:c r="C454" s="39" t="n">
        <x:v>40800060615</x:v>
      </x:c>
      <x:c r="D454" s="39" t="n">
        <x:v>40800104392</x:v>
      </x:c>
      <x:c r="E454" s="39" t="n">
        <x:v>40800135854</x:v>
      </x:c>
      <x:c r="F454" s="39" t="n">
        <x:v>40800145891</x:v>
      </x:c>
      <x:c r="G454" s="39" t="n">
        <x:v>1</x:v>
      </x:c>
      <x:c r="H454" s="39" t="n">
        <x:v>1</x:v>
      </x:c>
      <x:c r="I454" s="39" t="n">
        <x:v>1</x:v>
      </x:c>
      <x:c r="J454" s="40" t="n">
        <x:f>B454/1000000000</x:f>
        <x:v>40.8</x:v>
      </x:c>
      <x:c r="K454" s="41" t="n">
        <x:f>IF(C454&lt;0,NA(),(F454-B454)/1000000)</x:f>
        <x:v>0.145891</x:v>
      </x:c>
      <x:c r="L454" s="39" t="n">
        <x:f>IF(C454&lt;0,1,IF(OR(G454=0,H454=0,I454=0,F454-B454&gt;100000000),1,0))</x:f>
        <x:v>0</x:v>
      </x:c>
      <x:c r="M454" s="39" t="n">
        <x:f>IF(C454&lt;0,1,0)</x:f>
        <x:v>0</x:v>
      </x:c>
      <x:c r="N454" s="1"/>
      <x:c r="O454" s="1"/>
      <x:c r="P454" s="1"/>
      <x:c r="Q454" s="1"/>
      <x:c r="R454" s="1"/>
    </x:row>
    <x:row r="455" ht="22" customHeight="1">
      <x:c r="A455" s="39" t="n">
        <x:v>409</x:v>
      </x:c>
      <x:c r="B455" s="39" t="n">
        <x:v>40900000000</x:v>
      </x:c>
      <x:c r="C455" s="39" t="n">
        <x:v>40900057804</x:v>
      </x:c>
      <x:c r="D455" s="39" t="n">
        <x:v>40900073526</x:v>
      </x:c>
      <x:c r="E455" s="39" t="n">
        <x:v>40900087192</x:v>
      </x:c>
      <x:c r="F455" s="39" t="n">
        <x:v>40900097118</x:v>
      </x:c>
      <x:c r="G455" s="39" t="n">
        <x:v>1</x:v>
      </x:c>
      <x:c r="H455" s="39" t="n">
        <x:v>1</x:v>
      </x:c>
      <x:c r="I455" s="39" t="n">
        <x:v>1</x:v>
      </x:c>
      <x:c r="J455" s="40" t="n">
        <x:f>B455/1000000000</x:f>
        <x:v>40.9</x:v>
      </x:c>
      <x:c r="K455" s="41" t="n">
        <x:f>IF(C455&lt;0,NA(),(F455-B455)/1000000)</x:f>
        <x:v>0.097118</x:v>
      </x:c>
      <x:c r="L455" s="39" t="n">
        <x:f>IF(C455&lt;0,1,IF(OR(G455=0,H455=0,I455=0,F455-B455&gt;100000000),1,0))</x:f>
        <x:v>0</x:v>
      </x:c>
      <x:c r="M455" s="39" t="n">
        <x:f>IF(C455&lt;0,1,0)</x:f>
        <x:v>0</x:v>
      </x:c>
      <x:c r="N455" s="1"/>
      <x:c r="O455" s="1"/>
      <x:c r="P455" s="1"/>
      <x:c r="Q455" s="1"/>
      <x:c r="R455" s="1"/>
    </x:row>
    <x:row r="456" ht="22" customHeight="1">
      <x:c r="A456" s="39" t="n">
        <x:v>410</x:v>
      </x:c>
      <x:c r="B456" s="39" t="n">
        <x:v>41000000000</x:v>
      </x:c>
      <x:c r="C456" s="39" t="n">
        <x:v>41000056383</x:v>
      </x:c>
      <x:c r="D456" s="39" t="n">
        <x:v>41000073882</x:v>
      </x:c>
      <x:c r="E456" s="39" t="n">
        <x:v>41000091808</x:v>
      </x:c>
      <x:c r="F456" s="39" t="n">
        <x:v>41000101549</x:v>
      </x:c>
      <x:c r="G456" s="39" t="n">
        <x:v>1</x:v>
      </x:c>
      <x:c r="H456" s="39" t="n">
        <x:v>1</x:v>
      </x:c>
      <x:c r="I456" s="39" t="n">
        <x:v>1</x:v>
      </x:c>
      <x:c r="J456" s="40" t="n">
        <x:f>B456/1000000000</x:f>
        <x:v>41</x:v>
      </x:c>
      <x:c r="K456" s="41" t="n">
        <x:f>IF(C456&lt;0,NA(),(F456-B456)/1000000)</x:f>
        <x:v>0.101549</x:v>
      </x:c>
      <x:c r="L456" s="39" t="n">
        <x:f>IF(C456&lt;0,1,IF(OR(G456=0,H456=0,I456=0,F456-B456&gt;100000000),1,0))</x:f>
        <x:v>0</x:v>
      </x:c>
      <x:c r="M456" s="39" t="n">
        <x:f>IF(C456&lt;0,1,0)</x:f>
        <x:v>0</x:v>
      </x:c>
      <x:c r="N456" s="1"/>
      <x:c r="O456" s="1"/>
      <x:c r="P456" s="1"/>
      <x:c r="Q456" s="1"/>
      <x:c r="R456" s="1"/>
    </x:row>
    <x:row r="457" ht="22" customHeight="1">
      <x:c r="A457" s="39" t="n">
        <x:v>411</x:v>
      </x:c>
      <x:c r="B457" s="39" t="n">
        <x:v>41100000000</x:v>
      </x:c>
      <x:c r="C457" s="39" t="n">
        <x:v>41100053795</x:v>
      </x:c>
      <x:c r="D457" s="39" t="n">
        <x:v>41100061888</x:v>
      </x:c>
      <x:c r="E457" s="39" t="n">
        <x:v>41100071461</x:v>
      </x:c>
      <x:c r="F457" s="39" t="n">
        <x:v>41100080721</x:v>
      </x:c>
      <x:c r="G457" s="39" t="n">
        <x:v>1</x:v>
      </x:c>
      <x:c r="H457" s="39" t="n">
        <x:v>1</x:v>
      </x:c>
      <x:c r="I457" s="39" t="n">
        <x:v>1</x:v>
      </x:c>
      <x:c r="J457" s="40" t="n">
        <x:f>B457/1000000000</x:f>
        <x:v>41.1</x:v>
      </x:c>
      <x:c r="K457" s="41" t="n">
        <x:f>IF(C457&lt;0,NA(),(F457-B457)/1000000)</x:f>
        <x:v>0.080721</x:v>
      </x:c>
      <x:c r="L457" s="39" t="n">
        <x:f>IF(C457&lt;0,1,IF(OR(G457=0,H457=0,I457=0,F457-B457&gt;100000000),1,0))</x:f>
        <x:v>0</x:v>
      </x:c>
      <x:c r="M457" s="39" t="n">
        <x:f>IF(C457&lt;0,1,0)</x:f>
        <x:v>0</x:v>
      </x:c>
      <x:c r="N457" s="1"/>
      <x:c r="O457" s="1"/>
      <x:c r="P457" s="1"/>
      <x:c r="Q457" s="1"/>
      <x:c r="R457" s="1"/>
    </x:row>
    <x:row r="458" ht="22" customHeight="1">
      <x:c r="A458" s="39" t="n">
        <x:v>412</x:v>
      </x:c>
      <x:c r="B458" s="39" t="n">
        <x:v>41200000000</x:v>
      </x:c>
      <x:c r="C458" s="39" t="n">
        <x:v>41200055744</x:v>
      </x:c>
      <x:c r="D458" s="39" t="n">
        <x:v>41200069744</x:v>
      </x:c>
      <x:c r="E458" s="39" t="n">
        <x:v>41200085466</x:v>
      </x:c>
      <x:c r="F458" s="39" t="n">
        <x:v>41200095207</x:v>
      </x:c>
      <x:c r="G458" s="39" t="n">
        <x:v>1</x:v>
      </x:c>
      <x:c r="H458" s="39" t="n">
        <x:v>1</x:v>
      </x:c>
      <x:c r="I458" s="39" t="n">
        <x:v>1</x:v>
      </x:c>
      <x:c r="J458" s="40" t="n">
        <x:f>B458/1000000000</x:f>
        <x:v>41.2</x:v>
      </x:c>
      <x:c r="K458" s="41" t="n">
        <x:f>IF(C458&lt;0,NA(),(F458-B458)/1000000)</x:f>
        <x:v>0.095207</x:v>
      </x:c>
      <x:c r="L458" s="39" t="n">
        <x:f>IF(C458&lt;0,1,IF(OR(G458=0,H458=0,I458=0,F458-B458&gt;100000000),1,0))</x:f>
        <x:v>0</x:v>
      </x:c>
      <x:c r="M458" s="39" t="n">
        <x:f>IF(C458&lt;0,1,0)</x:f>
        <x:v>0</x:v>
      </x:c>
      <x:c r="N458" s="1"/>
      <x:c r="O458" s="1"/>
      <x:c r="P458" s="1"/>
      <x:c r="Q458" s="1"/>
      <x:c r="R458" s="1"/>
    </x:row>
    <x:row r="459" ht="22" customHeight="1">
      <x:c r="A459" s="39" t="n">
        <x:v>413</x:v>
      </x:c>
      <x:c r="B459" s="39" t="n">
        <x:v>41300000000</x:v>
      </x:c>
      <x:c r="C459" s="39" t="n">
        <x:v>41300053749</x:v>
      </x:c>
      <x:c r="D459" s="39" t="n">
        <x:v>41300064045</x:v>
      </x:c>
      <x:c r="E459" s="39" t="n">
        <x:v>41300077027</x:v>
      </x:c>
      <x:c r="F459" s="39" t="n">
        <x:v>41300086471</x:v>
      </x:c>
      <x:c r="G459" s="39" t="n">
        <x:v>1</x:v>
      </x:c>
      <x:c r="H459" s="39" t="n">
        <x:v>1</x:v>
      </x:c>
      <x:c r="I459" s="39" t="n">
        <x:v>1</x:v>
      </x:c>
      <x:c r="J459" s="40" t="n">
        <x:f>B459/1000000000</x:f>
        <x:v>41.3</x:v>
      </x:c>
      <x:c r="K459" s="41" t="n">
        <x:f>IF(C459&lt;0,NA(),(F459-B459)/1000000)</x:f>
        <x:v>0.086471</x:v>
      </x:c>
      <x:c r="L459" s="39" t="n">
        <x:f>IF(C459&lt;0,1,IF(OR(G459=0,H459=0,I459=0,F459-B459&gt;100000000),1,0))</x:f>
        <x:v>0</x:v>
      </x:c>
      <x:c r="M459" s="39" t="n">
        <x:f>IF(C459&lt;0,1,0)</x:f>
        <x:v>0</x:v>
      </x:c>
      <x:c r="N459" s="1"/>
      <x:c r="O459" s="1"/>
      <x:c r="P459" s="1"/>
      <x:c r="Q459" s="1"/>
      <x:c r="R459" s="1"/>
    </x:row>
    <x:row r="460" ht="22" customHeight="1">
      <x:c r="A460" s="39" t="n">
        <x:v>414</x:v>
      </x:c>
      <x:c r="B460" s="39" t="n">
        <x:v>41400000000</x:v>
      </x:c>
      <x:c r="C460" s="39" t="n">
        <x:v>41400059624</x:v>
      </x:c>
      <x:c r="D460" s="39" t="n">
        <x:v>41400091716</x:v>
      </x:c>
      <x:c r="E460" s="39" t="n">
        <x:v>41400116994</x:v>
      </x:c>
      <x:c r="F460" s="39" t="n">
        <x:v>41400127993</x:v>
      </x:c>
      <x:c r="G460" s="39" t="n">
        <x:v>1</x:v>
      </x:c>
      <x:c r="H460" s="39" t="n">
        <x:v>1</x:v>
      </x:c>
      <x:c r="I460" s="39" t="n">
        <x:v>1</x:v>
      </x:c>
      <x:c r="J460" s="40" t="n">
        <x:f>B460/1000000000</x:f>
        <x:v>41.4</x:v>
      </x:c>
      <x:c r="K460" s="41" t="n">
        <x:f>IF(C460&lt;0,NA(),(F460-B460)/1000000)</x:f>
        <x:v>0.127993</x:v>
      </x:c>
      <x:c r="L460" s="39" t="n">
        <x:f>IF(C460&lt;0,1,IF(OR(G460=0,H460=0,I460=0,F460-B460&gt;100000000),1,0))</x:f>
        <x:v>0</x:v>
      </x:c>
      <x:c r="M460" s="39" t="n">
        <x:f>IF(C460&lt;0,1,0)</x:f>
        <x:v>0</x:v>
      </x:c>
      <x:c r="N460" s="1"/>
      <x:c r="O460" s="1"/>
      <x:c r="P460" s="1"/>
      <x:c r="Q460" s="1"/>
      <x:c r="R460" s="1"/>
    </x:row>
    <x:row r="461" ht="22" customHeight="1">
      <x:c r="A461" s="39" t="n">
        <x:v>415</x:v>
      </x:c>
      <x:c r="B461" s="39" t="n">
        <x:v>41500000000</x:v>
      </x:c>
      <x:c r="C461" s="39" t="n">
        <x:v>41500055796</x:v>
      </x:c>
      <x:c r="D461" s="39" t="n">
        <x:v>41500069907</x:v>
      </x:c>
      <x:c r="E461" s="39" t="n">
        <x:v>41500084499</x:v>
      </x:c>
      <x:c r="F461" s="39" t="n">
        <x:v>41500094091</x:v>
      </x:c>
      <x:c r="G461" s="39" t="n">
        <x:v>1</x:v>
      </x:c>
      <x:c r="H461" s="39" t="n">
        <x:v>1</x:v>
      </x:c>
      <x:c r="I461" s="39" t="n">
        <x:v>1</x:v>
      </x:c>
      <x:c r="J461" s="40" t="n">
        <x:f>B461/1000000000</x:f>
        <x:v>41.5</x:v>
      </x:c>
      <x:c r="K461" s="41" t="n">
        <x:f>IF(C461&lt;0,NA(),(F461-B461)/1000000)</x:f>
        <x:v>0.094091</x:v>
      </x:c>
      <x:c r="L461" s="39" t="n">
        <x:f>IF(C461&lt;0,1,IF(OR(G461=0,H461=0,I461=0,F461-B461&gt;100000000),1,0))</x:f>
        <x:v>0</x:v>
      </x:c>
      <x:c r="M461" s="39" t="n">
        <x:f>IF(C461&lt;0,1,0)</x:f>
        <x:v>0</x:v>
      </x:c>
      <x:c r="N461" s="1"/>
      <x:c r="O461" s="1"/>
      <x:c r="P461" s="1"/>
      <x:c r="Q461" s="1"/>
      <x:c r="R461" s="1"/>
    </x:row>
    <x:row r="462" ht="22" customHeight="1">
      <x:c r="A462" s="39" t="n">
        <x:v>416</x:v>
      </x:c>
      <x:c r="B462" s="39" t="n">
        <x:v>41600000000</x:v>
      </x:c>
      <x:c r="C462" s="39" t="n">
        <x:v>41600055893</x:v>
      </x:c>
      <x:c r="D462" s="39" t="n">
        <x:v>41600068671</x:v>
      </x:c>
      <x:c r="E462" s="39" t="n">
        <x:v>41600081634</x:v>
      </x:c>
      <x:c r="F462" s="39" t="n">
        <x:v>41600091226</x:v>
      </x:c>
      <x:c r="G462" s="39" t="n">
        <x:v>1</x:v>
      </x:c>
      <x:c r="H462" s="39" t="n">
        <x:v>1</x:v>
      </x:c>
      <x:c r="I462" s="39" t="n">
        <x:v>1</x:v>
      </x:c>
      <x:c r="J462" s="40" t="n">
        <x:f>B462/1000000000</x:f>
        <x:v>41.6</x:v>
      </x:c>
      <x:c r="K462" s="41" t="n">
        <x:f>IF(C462&lt;0,NA(),(F462-B462)/1000000)</x:f>
        <x:v>0.091226</x:v>
      </x:c>
      <x:c r="L462" s="39" t="n">
        <x:f>IF(C462&lt;0,1,IF(OR(G462=0,H462=0,I462=0,F462-B462&gt;100000000),1,0))</x:f>
        <x:v>0</x:v>
      </x:c>
      <x:c r="M462" s="39" t="n">
        <x:f>IF(C462&lt;0,1,0)</x:f>
        <x:v>0</x:v>
      </x:c>
      <x:c r="N462" s="1"/>
      <x:c r="O462" s="1"/>
      <x:c r="P462" s="1"/>
      <x:c r="Q462" s="1"/>
      <x:c r="R462" s="1"/>
    </x:row>
    <x:row r="463" ht="22" customHeight="1">
      <x:c r="A463" s="39" t="n">
        <x:v>417</x:v>
      </x:c>
      <x:c r="B463" s="39" t="n">
        <x:v>41700000000</x:v>
      </x:c>
      <x:c r="C463" s="39" t="n">
        <x:v>41700053139</x:v>
      </x:c>
      <x:c r="D463" s="39" t="n">
        <x:v>41700060435</x:v>
      </x:c>
      <x:c r="E463" s="39" t="n">
        <x:v>41700068750</x:v>
      </x:c>
      <x:c r="F463" s="39" t="n">
        <x:v>41700078064</x:v>
      </x:c>
      <x:c r="G463" s="39" t="n">
        <x:v>1</x:v>
      </x:c>
      <x:c r="H463" s="39" t="n">
        <x:v>1</x:v>
      </x:c>
      <x:c r="I463" s="39" t="n">
        <x:v>1</x:v>
      </x:c>
      <x:c r="J463" s="40" t="n">
        <x:f>B463/1000000000</x:f>
        <x:v>41.7</x:v>
      </x:c>
      <x:c r="K463" s="41" t="n">
        <x:f>IF(C463&lt;0,NA(),(F463-B463)/1000000)</x:f>
        <x:v>0.078064</x:v>
      </x:c>
      <x:c r="L463" s="39" t="n">
        <x:f>IF(C463&lt;0,1,IF(OR(G463=0,H463=0,I463=0,F463-B463&gt;100000000),1,0))</x:f>
        <x:v>0</x:v>
      </x:c>
      <x:c r="M463" s="39" t="n">
        <x:f>IF(C463&lt;0,1,0)</x:f>
        <x:v>0</x:v>
      </x:c>
      <x:c r="N463" s="1"/>
      <x:c r="O463" s="1"/>
      <x:c r="P463" s="1"/>
      <x:c r="Q463" s="1"/>
      <x:c r="R463" s="1"/>
    </x:row>
    <x:row r="464" ht="22" customHeight="1">
      <x:c r="A464" s="39" t="n">
        <x:v>418</x:v>
      </x:c>
      <x:c r="B464" s="39" t="n">
        <x:v>41800000000</x:v>
      </x:c>
      <x:c r="C464" s="39" t="n">
        <x:v>41800055310</x:v>
      </x:c>
      <x:c r="D464" s="39" t="n">
        <x:v>41800068181</x:v>
      </x:c>
      <x:c r="E464" s="39" t="n">
        <x:v>41800082291</x:v>
      </x:c>
      <x:c r="F464" s="39" t="n">
        <x:v>41800091884</x:v>
      </x:c>
      <x:c r="G464" s="39" t="n">
        <x:v>1</x:v>
      </x:c>
      <x:c r="H464" s="39" t="n">
        <x:v>1</x:v>
      </x:c>
      <x:c r="I464" s="39" t="n">
        <x:v>1</x:v>
      </x:c>
      <x:c r="J464" s="40" t="n">
        <x:f>B464/1000000000</x:f>
        <x:v>41.8</x:v>
      </x:c>
      <x:c r="K464" s="41" t="n">
        <x:f>IF(C464&lt;0,NA(),(F464-B464)/1000000)</x:f>
        <x:v>0.091884</x:v>
      </x:c>
      <x:c r="L464" s="39" t="n">
        <x:f>IF(C464&lt;0,1,IF(OR(G464=0,H464=0,I464=0,F464-B464&gt;100000000),1,0))</x:f>
        <x:v>0</x:v>
      </x:c>
      <x:c r="M464" s="39" t="n">
        <x:f>IF(C464&lt;0,1,0)</x:f>
        <x:v>0</x:v>
      </x:c>
      <x:c r="N464" s="1"/>
      <x:c r="O464" s="1"/>
      <x:c r="P464" s="1"/>
      <x:c r="Q464" s="1"/>
      <x:c r="R464" s="1"/>
    </x:row>
    <x:row r="465" ht="22" customHeight="1">
      <x:c r="A465" s="39" t="n">
        <x:v>419</x:v>
      </x:c>
      <x:c r="B465" s="39" t="n">
        <x:v>41900000000</x:v>
      </x:c>
      <x:c r="C465" s="39" t="n">
        <x:v>41900053534</x:v>
      </x:c>
      <x:c r="D465" s="39" t="n">
        <x:v>41900061349</x:v>
      </x:c>
      <x:c r="E465" s="39" t="n">
        <x:v>41900069553</x:v>
      </x:c>
      <x:c r="F465" s="39" t="n">
        <x:v>41900078978</x:v>
      </x:c>
      <x:c r="G465" s="39" t="n">
        <x:v>1</x:v>
      </x:c>
      <x:c r="H465" s="39" t="n">
        <x:v>1</x:v>
      </x:c>
      <x:c r="I465" s="39" t="n">
        <x:v>1</x:v>
      </x:c>
      <x:c r="J465" s="40" t="n">
        <x:f>B465/1000000000</x:f>
        <x:v>41.9</x:v>
      </x:c>
      <x:c r="K465" s="41" t="n">
        <x:f>IF(C465&lt;0,NA(),(F465-B465)/1000000)</x:f>
        <x:v>0.078978</x:v>
      </x:c>
      <x:c r="L465" s="39" t="n">
        <x:f>IF(C465&lt;0,1,IF(OR(G465=0,H465=0,I465=0,F465-B465&gt;100000000),1,0))</x:f>
        <x:v>0</x:v>
      </x:c>
      <x:c r="M465" s="39" t="n">
        <x:f>IF(C465&lt;0,1,0)</x:f>
        <x:v>0</x:v>
      </x:c>
      <x:c r="N465" s="1"/>
      <x:c r="O465" s="1"/>
      <x:c r="P465" s="1"/>
      <x:c r="Q465" s="1"/>
      <x:c r="R465" s="1"/>
    </x:row>
    <x:row r="466" ht="22" customHeight="1">
      <x:c r="A466" s="39" t="n">
        <x:v>420</x:v>
      </x:c>
      <x:c r="B466" s="39" t="n">
        <x:v>42000000000</x:v>
      </x:c>
      <x:c r="C466" s="39" t="n">
        <x:v>42000058814</x:v>
      </x:c>
      <x:c r="D466" s="39" t="n">
        <x:v>42000086054</x:v>
      </x:c>
      <x:c r="E466" s="39" t="n">
        <x:v>42000108702</x:v>
      </x:c>
      <x:c r="F466" s="39" t="n">
        <x:v>42000118683</x:v>
      </x:c>
      <x:c r="G466" s="39" t="n">
        <x:v>1</x:v>
      </x:c>
      <x:c r="H466" s="39" t="n">
        <x:v>1</x:v>
      </x:c>
      <x:c r="I466" s="39" t="n">
        <x:v>1</x:v>
      </x:c>
      <x:c r="J466" s="40" t="n">
        <x:f>B466/1000000000</x:f>
        <x:v>42</x:v>
      </x:c>
      <x:c r="K466" s="41" t="n">
        <x:f>IF(C466&lt;0,NA(),(F466-B466)/1000000)</x:f>
        <x:v>0.118683</x:v>
      </x:c>
      <x:c r="L466" s="39" t="n">
        <x:f>IF(C466&lt;0,1,IF(OR(G466=0,H466=0,I466=0,F466-B466&gt;100000000),1,0))</x:f>
        <x:v>0</x:v>
      </x:c>
      <x:c r="M466" s="39" t="n">
        <x:f>IF(C466&lt;0,1,0)</x:f>
        <x:v>0</x:v>
      </x:c>
      <x:c r="N466" s="1"/>
      <x:c r="O466" s="1"/>
      <x:c r="P466" s="1"/>
      <x:c r="Q466" s="1"/>
      <x:c r="R466" s="1"/>
    </x:row>
    <x:row r="467" ht="22" customHeight="1">
      <x:c r="A467" s="39" t="n">
        <x:v>421</x:v>
      </x:c>
      <x:c r="B467" s="39" t="n">
        <x:v>42100000000</x:v>
      </x:c>
      <x:c r="C467" s="39" t="n">
        <x:v>42100054390</x:v>
      </x:c>
      <x:c r="D467" s="39" t="n">
        <x:v>42100063909</x:v>
      </x:c>
      <x:c r="E467" s="39" t="n">
        <x:v>42100072816</x:v>
      </x:c>
      <x:c r="F467" s="39" t="n">
        <x:v>42100082408</x:v>
      </x:c>
      <x:c r="G467" s="39" t="n">
        <x:v>1</x:v>
      </x:c>
      <x:c r="H467" s="39" t="n">
        <x:v>1</x:v>
      </x:c>
      <x:c r="I467" s="39" t="n">
        <x:v>1</x:v>
      </x:c>
      <x:c r="J467" s="40" t="n">
        <x:f>B467/1000000000</x:f>
        <x:v>42.1</x:v>
      </x:c>
      <x:c r="K467" s="41" t="n">
        <x:f>IF(C467&lt;0,NA(),(F467-B467)/1000000)</x:f>
        <x:v>0.082408</x:v>
      </x:c>
      <x:c r="L467" s="39" t="n">
        <x:f>IF(C467&lt;0,1,IF(OR(G467=0,H467=0,I467=0,F467-B467&gt;100000000),1,0))</x:f>
        <x:v>0</x:v>
      </x:c>
      <x:c r="M467" s="39" t="n">
        <x:f>IF(C467&lt;0,1,0)</x:f>
        <x:v>0</x:v>
      </x:c>
      <x:c r="N467" s="1"/>
      <x:c r="O467" s="1"/>
      <x:c r="P467" s="1"/>
      <x:c r="Q467" s="1"/>
      <x:c r="R467" s="1"/>
    </x:row>
    <x:row r="468" ht="22" customHeight="1">
      <x:c r="A468" s="39" t="n">
        <x:v>422</x:v>
      </x:c>
      <x:c r="B468" s="39" t="n">
        <x:v>42200000000</x:v>
      </x:c>
      <x:c r="C468" s="39" t="n">
        <x:v>42200056430</x:v>
      </x:c>
      <x:c r="D468" s="39" t="n">
        <x:v>42200072207</x:v>
      </x:c>
      <x:c r="E468" s="39" t="n">
        <x:v>42200088762</x:v>
      </x:c>
      <x:c r="F468" s="39" t="n">
        <x:v>42200098447</x:v>
      </x:c>
      <x:c r="G468" s="39" t="n">
        <x:v>1</x:v>
      </x:c>
      <x:c r="H468" s="39" t="n">
        <x:v>1</x:v>
      </x:c>
      <x:c r="I468" s="39" t="n">
        <x:v>1</x:v>
      </x:c>
      <x:c r="J468" s="40" t="n">
        <x:f>B468/1000000000</x:f>
        <x:v>42.2</x:v>
      </x:c>
      <x:c r="K468" s="41" t="n">
        <x:f>IF(C468&lt;0,NA(),(F468-B468)/1000000)</x:f>
        <x:v>0.098447</x:v>
      </x:c>
      <x:c r="L468" s="39" t="n">
        <x:f>IF(C468&lt;0,1,IF(OR(G468=0,H468=0,I468=0,F468-B468&gt;100000000),1,0))</x:f>
        <x:v>0</x:v>
      </x:c>
      <x:c r="M468" s="39" t="n">
        <x:f>IF(C468&lt;0,1,0)</x:f>
        <x:v>0</x:v>
      </x:c>
      <x:c r="N468" s="1"/>
      <x:c r="O468" s="1"/>
      <x:c r="P468" s="1"/>
      <x:c r="Q468" s="1"/>
      <x:c r="R468" s="1"/>
    </x:row>
    <x:row r="469" ht="22" customHeight="1">
      <x:c r="A469" s="39" t="n">
        <x:v>423</x:v>
      </x:c>
      <x:c r="B469" s="39" t="n">
        <x:v>42300000000</x:v>
      </x:c>
      <x:c r="C469" s="39" t="n">
        <x:v>42300053672</x:v>
      </x:c>
      <x:c r="D469" s="39" t="n">
        <x:v>42300062024</x:v>
      </x:c>
      <x:c r="E469" s="39" t="n">
        <x:v>42300071839</x:v>
      </x:c>
      <x:c r="F469" s="39" t="n">
        <x:v>42300081209</x:v>
      </x:c>
      <x:c r="G469" s="39" t="n">
        <x:v>1</x:v>
      </x:c>
      <x:c r="H469" s="39" t="n">
        <x:v>1</x:v>
      </x:c>
      <x:c r="I469" s="39" t="n">
        <x:v>1</x:v>
      </x:c>
      <x:c r="J469" s="40" t="n">
        <x:f>B469/1000000000</x:f>
        <x:v>42.3</x:v>
      </x:c>
      <x:c r="K469" s="41" t="n">
        <x:f>IF(C469&lt;0,NA(),(F469-B469)/1000000)</x:f>
        <x:v>0.081209</x:v>
      </x:c>
      <x:c r="L469" s="39" t="n">
        <x:f>IF(C469&lt;0,1,IF(OR(G469=0,H469=0,I469=0,F469-B469&gt;100000000),1,0))</x:f>
        <x:v>0</x:v>
      </x:c>
      <x:c r="M469" s="39" t="n">
        <x:f>IF(C469&lt;0,1,0)</x:f>
        <x:v>0</x:v>
      </x:c>
      <x:c r="N469" s="1"/>
      <x:c r="O469" s="1"/>
      <x:c r="P469" s="1"/>
      <x:c r="Q469" s="1"/>
      <x:c r="R469" s="1"/>
    </x:row>
    <x:row r="470" ht="22" customHeight="1">
      <x:c r="A470" s="39" t="n">
        <x:v>424</x:v>
      </x:c>
      <x:c r="B470" s="39" t="n">
        <x:v>42400000000</x:v>
      </x:c>
      <x:c r="C470" s="39" t="n">
        <x:v>42400055323</x:v>
      </x:c>
      <x:c r="D470" s="39" t="n">
        <x:v>42400068452</x:v>
      </x:c>
      <x:c r="E470" s="39" t="n">
        <x:v>42400081822</x:v>
      </x:c>
      <x:c r="F470" s="39" t="n">
        <x:v>42400091415</x:v>
      </x:c>
      <x:c r="G470" s="39" t="n">
        <x:v>1</x:v>
      </x:c>
      <x:c r="H470" s="39" t="n">
        <x:v>1</x:v>
      </x:c>
      <x:c r="I470" s="39" t="n">
        <x:v>1</x:v>
      </x:c>
      <x:c r="J470" s="40" t="n">
        <x:f>B470/1000000000</x:f>
        <x:v>42.4</x:v>
      </x:c>
      <x:c r="K470" s="41" t="n">
        <x:f>IF(C470&lt;0,NA(),(F470-B470)/1000000)</x:f>
        <x:v>0.091415</x:v>
      </x:c>
      <x:c r="L470" s="39" t="n">
        <x:f>IF(C470&lt;0,1,IF(OR(G470=0,H470=0,I470=0,F470-B470&gt;100000000),1,0))</x:f>
        <x:v>0</x:v>
      </x:c>
      <x:c r="M470" s="39" t="n">
        <x:f>IF(C470&lt;0,1,0)</x:f>
        <x:v>0</x:v>
      </x:c>
      <x:c r="N470" s="1"/>
      <x:c r="O470" s="1"/>
      <x:c r="P470" s="1"/>
      <x:c r="Q470" s="1"/>
      <x:c r="R470" s="1"/>
    </x:row>
    <x:row r="471" ht="22" customHeight="1">
      <x:c r="A471" s="39" t="n">
        <x:v>425</x:v>
      </x:c>
      <x:c r="B471" s="39" t="n">
        <x:v>42500000000</x:v>
      </x:c>
      <x:c r="C471" s="39" t="n">
        <x:v>42500053843</x:v>
      </x:c>
      <x:c r="D471" s="39" t="n">
        <x:v>42500065454</x:v>
      </x:c>
      <x:c r="E471" s="39" t="n">
        <x:v>42500076547</x:v>
      </x:c>
      <x:c r="F471" s="39" t="n">
        <x:v>42500085954</x:v>
      </x:c>
      <x:c r="G471" s="39" t="n">
        <x:v>1</x:v>
      </x:c>
      <x:c r="H471" s="39" t="n">
        <x:v>1</x:v>
      </x:c>
      <x:c r="I471" s="39" t="n">
        <x:v>1</x:v>
      </x:c>
      <x:c r="J471" s="40" t="n">
        <x:f>B471/1000000000</x:f>
        <x:v>42.5</x:v>
      </x:c>
      <x:c r="K471" s="41" t="n">
        <x:f>IF(C471&lt;0,NA(),(F471-B471)/1000000)</x:f>
        <x:v>0.085954</x:v>
      </x:c>
      <x:c r="L471" s="39" t="n">
        <x:f>IF(C471&lt;0,1,IF(OR(G471=0,H471=0,I471=0,F471-B471&gt;100000000),1,0))</x:f>
        <x:v>0</x:v>
      </x:c>
      <x:c r="M471" s="39" t="n">
        <x:f>IF(C471&lt;0,1,0)</x:f>
        <x:v>0</x:v>
      </x:c>
      <x:c r="N471" s="1"/>
      <x:c r="O471" s="1"/>
      <x:c r="P471" s="1"/>
      <x:c r="Q471" s="1"/>
      <x:c r="R471" s="1"/>
    </x:row>
    <x:row r="472" ht="22" customHeight="1">
      <x:c r="A472" s="39" t="n">
        <x:v>426</x:v>
      </x:c>
      <x:c r="B472" s="39" t="n">
        <x:v>42600000000</x:v>
      </x:c>
      <x:c r="C472" s="39" t="n">
        <x:v>42600060401</x:v>
      </x:c>
      <x:c r="D472" s="39" t="n">
        <x:v>42600097493</x:v>
      </x:c>
      <x:c r="E472" s="39" t="n">
        <x:v>42600129251</x:v>
      </x:c>
      <x:c r="F472" s="39" t="n">
        <x:v>42600139807</x:v>
      </x:c>
      <x:c r="G472" s="39" t="n">
        <x:v>1</x:v>
      </x:c>
      <x:c r="H472" s="39" t="n">
        <x:v>1</x:v>
      </x:c>
      <x:c r="I472" s="39" t="n">
        <x:v>1</x:v>
      </x:c>
      <x:c r="J472" s="40" t="n">
        <x:f>B472/1000000000</x:f>
        <x:v>42.6</x:v>
      </x:c>
      <x:c r="K472" s="41" t="n">
        <x:f>IF(C472&lt;0,NA(),(F472-B472)/1000000)</x:f>
        <x:v>0.139807</x:v>
      </x:c>
      <x:c r="L472" s="39" t="n">
        <x:f>IF(C472&lt;0,1,IF(OR(G472=0,H472=0,I472=0,F472-B472&gt;100000000),1,0))</x:f>
        <x:v>0</x:v>
      </x:c>
      <x:c r="M472" s="39" t="n">
        <x:f>IF(C472&lt;0,1,0)</x:f>
        <x:v>0</x:v>
      </x:c>
      <x:c r="N472" s="1"/>
      <x:c r="O472" s="1"/>
      <x:c r="P472" s="1"/>
      <x:c r="Q472" s="1"/>
      <x:c r="R472" s="1"/>
    </x:row>
    <x:row r="473" ht="22" customHeight="1">
      <x:c r="A473" s="39" t="n">
        <x:v>427</x:v>
      </x:c>
      <x:c r="B473" s="39" t="n">
        <x:v>42700000000</x:v>
      </x:c>
      <x:c r="C473" s="39" t="n">
        <x:v>42700054996</x:v>
      </x:c>
      <x:c r="D473" s="39" t="n">
        <x:v>42700068106</x:v>
      </x:c>
      <x:c r="E473" s="39" t="n">
        <x:v>42700080532</x:v>
      </x:c>
      <x:c r="F473" s="39" t="n">
        <x:v>42700090365</x:v>
      </x:c>
      <x:c r="G473" s="39" t="n">
        <x:v>1</x:v>
      </x:c>
      <x:c r="H473" s="39" t="n">
        <x:v>1</x:v>
      </x:c>
      <x:c r="I473" s="39" t="n">
        <x:v>1</x:v>
      </x:c>
      <x:c r="J473" s="40" t="n">
        <x:f>B473/1000000000</x:f>
        <x:v>42.7</x:v>
      </x:c>
      <x:c r="K473" s="41" t="n">
        <x:f>IF(C473&lt;0,NA(),(F473-B473)/1000000)</x:f>
        <x:v>0.090365</x:v>
      </x:c>
      <x:c r="L473" s="39" t="n">
        <x:f>IF(C473&lt;0,1,IF(OR(G473=0,H473=0,I473=0,F473-B473&gt;100000000),1,0))</x:f>
        <x:v>0</x:v>
      </x:c>
      <x:c r="M473" s="39" t="n">
        <x:f>IF(C473&lt;0,1,0)</x:f>
        <x:v>0</x:v>
      </x:c>
      <x:c r="N473" s="1"/>
      <x:c r="O473" s="1"/>
      <x:c r="P473" s="1"/>
      <x:c r="Q473" s="1"/>
      <x:c r="R473" s="1"/>
    </x:row>
    <x:row r="474" ht="22" customHeight="1">
      <x:c r="A474" s="39" t="n">
        <x:v>428</x:v>
      </x:c>
      <x:c r="B474" s="39" t="n">
        <x:v>42800000000</x:v>
      </x:c>
      <x:c r="C474" s="39" t="n">
        <x:v>42800055757</x:v>
      </x:c>
      <x:c r="D474" s="39" t="n">
        <x:v>42800070034</x:v>
      </x:c>
      <x:c r="E474" s="39" t="n">
        <x:v>42800085275</x:v>
      </x:c>
      <x:c r="F474" s="39" t="n">
        <x:v>42800095238</x:v>
      </x:c>
      <x:c r="G474" s="39" t="n">
        <x:v>1</x:v>
      </x:c>
      <x:c r="H474" s="39" t="n">
        <x:v>1</x:v>
      </x:c>
      <x:c r="I474" s="39" t="n">
        <x:v>1</x:v>
      </x:c>
      <x:c r="J474" s="40" t="n">
        <x:f>B474/1000000000</x:f>
        <x:v>42.8</x:v>
      </x:c>
      <x:c r="K474" s="41" t="n">
        <x:f>IF(C474&lt;0,NA(),(F474-B474)/1000000)</x:f>
        <x:v>0.095238</x:v>
      </x:c>
      <x:c r="L474" s="39" t="n">
        <x:f>IF(C474&lt;0,1,IF(OR(G474=0,H474=0,I474=0,F474-B474&gt;100000000),1,0))</x:f>
        <x:v>0</x:v>
      </x:c>
      <x:c r="M474" s="39" t="n">
        <x:f>IF(C474&lt;0,1,0)</x:f>
        <x:v>0</x:v>
      </x:c>
      <x:c r="N474" s="1"/>
      <x:c r="O474" s="1"/>
      <x:c r="P474" s="1"/>
      <x:c r="Q474" s="1"/>
      <x:c r="R474" s="1"/>
    </x:row>
    <x:row r="475" ht="22" customHeight="1">
      <x:c r="A475" s="39" t="n">
        <x:v>429</x:v>
      </x:c>
      <x:c r="B475" s="39" t="n">
        <x:v>42900000000</x:v>
      </x:c>
      <x:c r="C475" s="39" t="n">
        <x:v>42900054754</x:v>
      </x:c>
      <x:c r="D475" s="39" t="n">
        <x:v>42900069087</x:v>
      </x:c>
      <x:c r="E475" s="39" t="n">
        <x:v>42900083253</x:v>
      </x:c>
      <x:c r="F475" s="39" t="n">
        <x:v>42900093160</x:v>
      </x:c>
      <x:c r="G475" s="39" t="n">
        <x:v>1</x:v>
      </x:c>
      <x:c r="H475" s="39" t="n">
        <x:v>1</x:v>
      </x:c>
      <x:c r="I475" s="39" t="n">
        <x:v>1</x:v>
      </x:c>
      <x:c r="J475" s="40" t="n">
        <x:f>B475/1000000000</x:f>
        <x:v>42.9</x:v>
      </x:c>
      <x:c r="K475" s="41" t="n">
        <x:f>IF(C475&lt;0,NA(),(F475-B475)/1000000)</x:f>
        <x:v>0.09316</x:v>
      </x:c>
      <x:c r="L475" s="39" t="n">
        <x:f>IF(C475&lt;0,1,IF(OR(G475=0,H475=0,I475=0,F475-B475&gt;100000000),1,0))</x:f>
        <x:v>0</x:v>
      </x:c>
      <x:c r="M475" s="39" t="n">
        <x:f>IF(C475&lt;0,1,0)</x:f>
        <x:v>0</x:v>
      </x:c>
      <x:c r="N475" s="1"/>
      <x:c r="O475" s="1"/>
      <x:c r="P475" s="1"/>
      <x:c r="Q475" s="1"/>
      <x:c r="R475" s="1"/>
    </x:row>
    <x:row r="476" ht="22" customHeight="1">
      <x:c r="A476" s="39" t="n">
        <x:v>430</x:v>
      </x:c>
      <x:c r="B476" s="39" t="n">
        <x:v>43000000000</x:v>
      </x:c>
      <x:c r="C476" s="39" t="n">
        <x:v>43000055639</x:v>
      </x:c>
      <x:c r="D476" s="39" t="n">
        <x:v>43000069509</x:v>
      </x:c>
      <x:c r="E476" s="39" t="n">
        <x:v>43000083823</x:v>
      </x:c>
      <x:c r="F476" s="39" t="n">
        <x:v>43000093490</x:v>
      </x:c>
      <x:c r="G476" s="39" t="n">
        <x:v>1</x:v>
      </x:c>
      <x:c r="H476" s="39" t="n">
        <x:v>1</x:v>
      </x:c>
      <x:c r="I476" s="39" t="n">
        <x:v>1</x:v>
      </x:c>
      <x:c r="J476" s="40" t="n">
        <x:f>B476/1000000000</x:f>
        <x:v>43</x:v>
      </x:c>
      <x:c r="K476" s="41" t="n">
        <x:f>IF(C476&lt;0,NA(),(F476-B476)/1000000)</x:f>
        <x:v>0.09349</x:v>
      </x:c>
      <x:c r="L476" s="39" t="n">
        <x:f>IF(C476&lt;0,1,IF(OR(G476=0,H476=0,I476=0,F476-B476&gt;100000000),1,0))</x:f>
        <x:v>0</x:v>
      </x:c>
      <x:c r="M476" s="39" t="n">
        <x:f>IF(C476&lt;0,1,0)</x:f>
        <x:v>0</x:v>
      </x:c>
      <x:c r="N476" s="1"/>
      <x:c r="O476" s="1"/>
      <x:c r="P476" s="1"/>
      <x:c r="Q476" s="1"/>
      <x:c r="R476" s="1"/>
    </x:row>
    <x:row r="477" ht="22" customHeight="1">
      <x:c r="A477" s="39" t="n">
        <x:v>431</x:v>
      </x:c>
      <x:c r="B477" s="39" t="n">
        <x:v>43100000000</x:v>
      </x:c>
      <x:c r="C477" s="39" t="n">
        <x:v>43100053857</x:v>
      </x:c>
      <x:c r="D477" s="39" t="n">
        <x:v>43100062005</x:v>
      </x:c>
      <x:c r="E477" s="39" t="n">
        <x:v>43100070801</x:v>
      </x:c>
      <x:c r="F477" s="39" t="n">
        <x:v>43100080171</x:v>
      </x:c>
      <x:c r="G477" s="39" t="n">
        <x:v>1</x:v>
      </x:c>
      <x:c r="H477" s="39" t="n">
        <x:v>1</x:v>
      </x:c>
      <x:c r="I477" s="39" t="n">
        <x:v>1</x:v>
      </x:c>
      <x:c r="J477" s="40" t="n">
        <x:f>B477/1000000000</x:f>
        <x:v>43.1</x:v>
      </x:c>
      <x:c r="K477" s="41" t="n">
        <x:f>IF(C477&lt;0,NA(),(F477-B477)/1000000)</x:f>
        <x:v>0.080171</x:v>
      </x:c>
      <x:c r="L477" s="39" t="n">
        <x:f>IF(C477&lt;0,1,IF(OR(G477=0,H477=0,I477=0,F477-B477&gt;100000000),1,0))</x:f>
        <x:v>0</x:v>
      </x:c>
      <x:c r="M477" s="39" t="n">
        <x:f>IF(C477&lt;0,1,0)</x:f>
        <x:v>0</x:v>
      </x:c>
      <x:c r="N477" s="1"/>
      <x:c r="O477" s="1"/>
      <x:c r="P477" s="1"/>
      <x:c r="Q477" s="1"/>
      <x:c r="R477" s="1"/>
    </x:row>
    <x:row r="478" ht="22" customHeight="1">
      <x:c r="A478" s="39" t="n">
        <x:v>432</x:v>
      </x:c>
      <x:c r="B478" s="39" t="n">
        <x:v>43200000000</x:v>
      </x:c>
      <x:c r="C478" s="39" t="n">
        <x:v>43200059094</x:v>
      </x:c>
      <x:c r="D478" s="39" t="n">
        <x:v>43200094148</x:v>
      </x:c>
      <x:c r="E478" s="39" t="n">
        <x:v>43200120426</x:v>
      </x:c>
      <x:c r="F478" s="39" t="n">
        <x:v>43200130777</x:v>
      </x:c>
      <x:c r="G478" s="39" t="n">
        <x:v>1</x:v>
      </x:c>
      <x:c r="H478" s="39" t="n">
        <x:v>1</x:v>
      </x:c>
      <x:c r="I478" s="39" t="n">
        <x:v>1</x:v>
      </x:c>
      <x:c r="J478" s="40" t="n">
        <x:f>B478/1000000000</x:f>
        <x:v>43.2</x:v>
      </x:c>
      <x:c r="K478" s="41" t="n">
        <x:f>IF(C478&lt;0,NA(),(F478-B478)/1000000)</x:f>
        <x:v>0.130777</x:v>
      </x:c>
      <x:c r="L478" s="39" t="n">
        <x:f>IF(C478&lt;0,1,IF(OR(G478=0,H478=0,I478=0,F478-B478&gt;100000000),1,0))</x:f>
        <x:v>0</x:v>
      </x:c>
      <x:c r="M478" s="39" t="n">
        <x:f>IF(C478&lt;0,1,0)</x:f>
        <x:v>0</x:v>
      </x:c>
      <x:c r="N478" s="1"/>
      <x:c r="O478" s="1"/>
      <x:c r="P478" s="1"/>
      <x:c r="Q478" s="1"/>
      <x:c r="R478" s="1"/>
    </x:row>
    <x:row r="479" ht="22" customHeight="1">
      <x:c r="A479" s="39" t="n">
        <x:v>433</x:v>
      </x:c>
      <x:c r="B479" s="39" t="n">
        <x:v>43300000000</x:v>
      </x:c>
      <x:c r="C479" s="39" t="n">
        <x:v>43300054090</x:v>
      </x:c>
      <x:c r="D479" s="39" t="n">
        <x:v>43300065812</x:v>
      </x:c>
      <x:c r="E479" s="39" t="n">
        <x:v>43300076830</x:v>
      </x:c>
      <x:c r="F479" s="39" t="n">
        <x:v>43300086274</x:v>
      </x:c>
      <x:c r="G479" s="39" t="n">
        <x:v>1</x:v>
      </x:c>
      <x:c r="H479" s="39" t="n">
        <x:v>1</x:v>
      </x:c>
      <x:c r="I479" s="39" t="n">
        <x:v>1</x:v>
      </x:c>
      <x:c r="J479" s="40" t="n">
        <x:f>B479/1000000000</x:f>
        <x:v>43.3</x:v>
      </x:c>
      <x:c r="K479" s="41" t="n">
        <x:f>IF(C479&lt;0,NA(),(F479-B479)/1000000)</x:f>
        <x:v>0.086274</x:v>
      </x:c>
      <x:c r="L479" s="39" t="n">
        <x:f>IF(C479&lt;0,1,IF(OR(G479=0,H479=0,I479=0,F479-B479&gt;100000000),1,0))</x:f>
        <x:v>0</x:v>
      </x:c>
      <x:c r="M479" s="39" t="n">
        <x:f>IF(C479&lt;0,1,0)</x:f>
        <x:v>0</x:v>
      </x:c>
      <x:c r="N479" s="1"/>
      <x:c r="O479" s="1"/>
      <x:c r="P479" s="1"/>
      <x:c r="Q479" s="1"/>
      <x:c r="R479" s="1"/>
    </x:row>
    <x:row r="480" ht="22" customHeight="1">
      <x:c r="A480" s="39" t="n">
        <x:v>434</x:v>
      </x:c>
      <x:c r="B480" s="39" t="n">
        <x:v>43400000000</x:v>
      </x:c>
      <x:c r="C480" s="39" t="n">
        <x:v>43400056382</x:v>
      </x:c>
      <x:c r="D480" s="39" t="n">
        <x:v>43400069919</x:v>
      </x:c>
      <x:c r="E480" s="39" t="n">
        <x:v>43400084437</x:v>
      </x:c>
      <x:c r="F480" s="39" t="n">
        <x:v>43400094196</x:v>
      </x:c>
      <x:c r="G480" s="39" t="n">
        <x:v>1</x:v>
      </x:c>
      <x:c r="H480" s="39" t="n">
        <x:v>1</x:v>
      </x:c>
      <x:c r="I480" s="39" t="n">
        <x:v>1</x:v>
      </x:c>
      <x:c r="J480" s="40" t="n">
        <x:f>B480/1000000000</x:f>
        <x:v>43.4</x:v>
      </x:c>
      <x:c r="K480" s="41" t="n">
        <x:f>IF(C480&lt;0,NA(),(F480-B480)/1000000)</x:f>
        <x:v>0.094196</x:v>
      </x:c>
      <x:c r="L480" s="39" t="n">
        <x:f>IF(C480&lt;0,1,IF(OR(G480=0,H480=0,I480=0,F480-B480&gt;100000000),1,0))</x:f>
        <x:v>0</x:v>
      </x:c>
      <x:c r="M480" s="39" t="n">
        <x:f>IF(C480&lt;0,1,0)</x:f>
        <x:v>0</x:v>
      </x:c>
      <x:c r="N480" s="1"/>
      <x:c r="O480" s="1"/>
      <x:c r="P480" s="1"/>
      <x:c r="Q480" s="1"/>
      <x:c r="R480" s="1"/>
    </x:row>
    <x:row r="481" ht="22" customHeight="1">
      <x:c r="A481" s="39" t="n">
        <x:v>435</x:v>
      </x:c>
      <x:c r="B481" s="39" t="n">
        <x:v>43500000000</x:v>
      </x:c>
      <x:c r="C481" s="39" t="n">
        <x:v>43500055489</x:v>
      </x:c>
      <x:c r="D481" s="39" t="n">
        <x:v>43500068544</x:v>
      </x:c>
      <x:c r="E481" s="39" t="n">
        <x:v>43500081322</x:v>
      </x:c>
      <x:c r="F481" s="39" t="n">
        <x:v>43500091396</x:v>
      </x:c>
      <x:c r="G481" s="39" t="n">
        <x:v>1</x:v>
      </x:c>
      <x:c r="H481" s="39" t="n">
        <x:v>1</x:v>
      </x:c>
      <x:c r="I481" s="39" t="n">
        <x:v>1</x:v>
      </x:c>
      <x:c r="J481" s="40" t="n">
        <x:f>B481/1000000000</x:f>
        <x:v>43.5</x:v>
      </x:c>
      <x:c r="K481" s="41" t="n">
        <x:f>IF(C481&lt;0,NA(),(F481-B481)/1000000)</x:f>
        <x:v>0.091396</x:v>
      </x:c>
      <x:c r="L481" s="39" t="n">
        <x:f>IF(C481&lt;0,1,IF(OR(G481=0,H481=0,I481=0,F481-B481&gt;100000000),1,0))</x:f>
        <x:v>0</x:v>
      </x:c>
      <x:c r="M481" s="39" t="n">
        <x:f>IF(C481&lt;0,1,0)</x:f>
        <x:v>0</x:v>
      </x:c>
      <x:c r="N481" s="1"/>
      <x:c r="O481" s="1"/>
      <x:c r="P481" s="1"/>
      <x:c r="Q481" s="1"/>
      <x:c r="R481" s="1"/>
    </x:row>
    <x:row r="482" ht="22" customHeight="1">
      <x:c r="A482" s="39" t="n">
        <x:v>436</x:v>
      </x:c>
      <x:c r="B482" s="39" t="n">
        <x:v>43600000000</x:v>
      </x:c>
      <x:c r="C482" s="39" t="n">
        <x:v>43600055430</x:v>
      </x:c>
      <x:c r="D482" s="39" t="n">
        <x:v>43600068596</x:v>
      </x:c>
      <x:c r="E482" s="39" t="n">
        <x:v>43600081670</x:v>
      </x:c>
      <x:c r="F482" s="39" t="n">
        <x:v>43600091336</x:v>
      </x:c>
      <x:c r="G482" s="39" t="n">
        <x:v>1</x:v>
      </x:c>
      <x:c r="H482" s="39" t="n">
        <x:v>1</x:v>
      </x:c>
      <x:c r="I482" s="39" t="n">
        <x:v>1</x:v>
      </x:c>
      <x:c r="J482" s="40" t="n">
        <x:f>B482/1000000000</x:f>
        <x:v>43.6</x:v>
      </x:c>
      <x:c r="K482" s="41" t="n">
        <x:f>IF(C482&lt;0,NA(),(F482-B482)/1000000)</x:f>
        <x:v>0.091336</x:v>
      </x:c>
      <x:c r="L482" s="39" t="n">
        <x:f>IF(C482&lt;0,1,IF(OR(G482=0,H482=0,I482=0,F482-B482&gt;100000000),1,0))</x:f>
        <x:v>0</x:v>
      </x:c>
      <x:c r="M482" s="39" t="n">
        <x:f>IF(C482&lt;0,1,0)</x:f>
        <x:v>0</x:v>
      </x:c>
      <x:c r="N482" s="1"/>
      <x:c r="O482" s="1"/>
      <x:c r="P482" s="1"/>
      <x:c r="Q482" s="1"/>
      <x:c r="R482" s="1"/>
    </x:row>
    <x:row r="483" ht="22" customHeight="1">
      <x:c r="A483" s="39" t="n">
        <x:v>437</x:v>
      </x:c>
      <x:c r="B483" s="39" t="n">
        <x:v>43700000000</x:v>
      </x:c>
      <x:c r="C483" s="39" t="n">
        <x:v>43700054685</x:v>
      </x:c>
      <x:c r="D483" s="39" t="n">
        <x:v>43700065851</x:v>
      </x:c>
      <x:c r="E483" s="39" t="n">
        <x:v>43700077833</x:v>
      </x:c>
      <x:c r="F483" s="39" t="n">
        <x:v>43700088036</x:v>
      </x:c>
      <x:c r="G483" s="39" t="n">
        <x:v>1</x:v>
      </x:c>
      <x:c r="H483" s="39" t="n">
        <x:v>1</x:v>
      </x:c>
      <x:c r="I483" s="39" t="n">
        <x:v>1</x:v>
      </x:c>
      <x:c r="J483" s="40" t="n">
        <x:f>B483/1000000000</x:f>
        <x:v>43.7</x:v>
      </x:c>
      <x:c r="K483" s="41" t="n">
        <x:f>IF(C483&lt;0,NA(),(F483-B483)/1000000)</x:f>
        <x:v>0.088036</x:v>
      </x:c>
      <x:c r="L483" s="39" t="n">
        <x:f>IF(C483&lt;0,1,IF(OR(G483=0,H483=0,I483=0,F483-B483&gt;100000000),1,0))</x:f>
        <x:v>0</x:v>
      </x:c>
      <x:c r="M483" s="39" t="n">
        <x:f>IF(C483&lt;0,1,0)</x:f>
        <x:v>0</x:v>
      </x:c>
      <x:c r="N483" s="1"/>
      <x:c r="O483" s="1"/>
      <x:c r="P483" s="1"/>
      <x:c r="Q483" s="1"/>
      <x:c r="R483" s="1"/>
    </x:row>
    <x:row r="484" ht="22" customHeight="1">
      <x:c r="A484" s="39" t="n">
        <x:v>438</x:v>
      </x:c>
      <x:c r="B484" s="39" t="n">
        <x:v>43800000000</x:v>
      </x:c>
      <x:c r="C484" s="39" t="n">
        <x:v>43800058829</x:v>
      </x:c>
      <x:c r="D484" s="39" t="n">
        <x:v>43800090828</x:v>
      </x:c>
      <x:c r="E484" s="39" t="n">
        <x:v>43800116495</x:v>
      </x:c>
      <x:c r="F484" s="39" t="n">
        <x:v>43800126568</x:v>
      </x:c>
      <x:c r="G484" s="39" t="n">
        <x:v>1</x:v>
      </x:c>
      <x:c r="H484" s="39" t="n">
        <x:v>1</x:v>
      </x:c>
      <x:c r="I484" s="39" t="n">
        <x:v>1</x:v>
      </x:c>
      <x:c r="J484" s="40" t="n">
        <x:f>B484/1000000000</x:f>
        <x:v>43.8</x:v>
      </x:c>
      <x:c r="K484" s="41" t="n">
        <x:f>IF(C484&lt;0,NA(),(F484-B484)/1000000)</x:f>
        <x:v>0.126568</x:v>
      </x:c>
      <x:c r="L484" s="39" t="n">
        <x:f>IF(C484&lt;0,1,IF(OR(G484=0,H484=0,I484=0,F484-B484&gt;100000000),1,0))</x:f>
        <x:v>0</x:v>
      </x:c>
      <x:c r="M484" s="39" t="n">
        <x:f>IF(C484&lt;0,1,0)</x:f>
        <x:v>0</x:v>
      </x:c>
      <x:c r="N484" s="1"/>
      <x:c r="O484" s="1"/>
      <x:c r="P484" s="1"/>
      <x:c r="Q484" s="1"/>
      <x:c r="R484" s="1"/>
    </x:row>
    <x:row r="485" ht="22" customHeight="1">
      <x:c r="A485" s="39" t="n">
        <x:v>439</x:v>
      </x:c>
      <x:c r="B485" s="39" t="n">
        <x:v>43900000000</x:v>
      </x:c>
      <x:c r="C485" s="39" t="n">
        <x:v>43900056436</x:v>
      </x:c>
      <x:c r="D485" s="39" t="n">
        <x:v>43900077288</x:v>
      </x:c>
      <x:c r="E485" s="39" t="n">
        <x:v>43900095880</x:v>
      </x:c>
      <x:c r="F485" s="39" t="n">
        <x:v>43900105843</x:v>
      </x:c>
      <x:c r="G485" s="39" t="n">
        <x:v>1</x:v>
      </x:c>
      <x:c r="H485" s="39" t="n">
        <x:v>1</x:v>
      </x:c>
      <x:c r="I485" s="39" t="n">
        <x:v>1</x:v>
      </x:c>
      <x:c r="J485" s="40" t="n">
        <x:f>B485/1000000000</x:f>
        <x:v>43.9</x:v>
      </x:c>
      <x:c r="K485" s="41" t="n">
        <x:f>IF(C485&lt;0,NA(),(F485-B485)/1000000)</x:f>
        <x:v>0.105843</x:v>
      </x:c>
      <x:c r="L485" s="39" t="n">
        <x:f>IF(C485&lt;0,1,IF(OR(G485=0,H485=0,I485=0,F485-B485&gt;100000000),1,0))</x:f>
        <x:v>0</x:v>
      </x:c>
      <x:c r="M485" s="39" t="n">
        <x:f>IF(C485&lt;0,1,0)</x:f>
        <x:v>0</x:v>
      </x:c>
      <x:c r="N485" s="1"/>
      <x:c r="O485" s="1"/>
      <x:c r="P485" s="1"/>
      <x:c r="Q485" s="1"/>
      <x:c r="R485" s="1"/>
    </x:row>
    <x:row r="486" ht="22" customHeight="1">
      <x:c r="A486" s="39" t="n">
        <x:v>440</x:v>
      </x:c>
      <x:c r="B486" s="39" t="n">
        <x:v>44000000000</x:v>
      </x:c>
      <x:c r="C486" s="39" t="n">
        <x:v>44000055183</x:v>
      </x:c>
      <x:c r="D486" s="39" t="n">
        <x:v>44000070238</x:v>
      </x:c>
      <x:c r="E486" s="39" t="n">
        <x:v>44000083997</x:v>
      </x:c>
      <x:c r="F486" s="39" t="n">
        <x:v>44000093515</x:v>
      </x:c>
      <x:c r="G486" s="39" t="n">
        <x:v>1</x:v>
      </x:c>
      <x:c r="H486" s="39" t="n">
        <x:v>1</x:v>
      </x:c>
      <x:c r="I486" s="39" t="n">
        <x:v>1</x:v>
      </x:c>
      <x:c r="J486" s="40" t="n">
        <x:f>B486/1000000000</x:f>
        <x:v>44</x:v>
      </x:c>
      <x:c r="K486" s="41" t="n">
        <x:f>IF(C486&lt;0,NA(),(F486-B486)/1000000)</x:f>
        <x:v>0.093515</x:v>
      </x:c>
      <x:c r="L486" s="39" t="n">
        <x:f>IF(C486&lt;0,1,IF(OR(G486=0,H486=0,I486=0,F486-B486&gt;100000000),1,0))</x:f>
        <x:v>0</x:v>
      </x:c>
      <x:c r="M486" s="39" t="n">
        <x:f>IF(C486&lt;0,1,0)</x:f>
        <x:v>0</x:v>
      </x:c>
      <x:c r="N486" s="1"/>
      <x:c r="O486" s="1"/>
      <x:c r="P486" s="1"/>
      <x:c r="Q486" s="1"/>
      <x:c r="R486" s="1"/>
    </x:row>
    <x:row r="487" ht="22" customHeight="1">
      <x:c r="A487" s="39" t="n">
        <x:v>441</x:v>
      </x:c>
      <x:c r="B487" s="39" t="n">
        <x:v>44100000000</x:v>
      </x:c>
      <x:c r="C487" s="39" t="n">
        <x:v>44100053336</x:v>
      </x:c>
      <x:c r="D487" s="39" t="n">
        <x:v>44100060429</x:v>
      </x:c>
      <x:c r="E487" s="39" t="n">
        <x:v>44100068817</x:v>
      </x:c>
      <x:c r="F487" s="39" t="n">
        <x:v>44100078095</x:v>
      </x:c>
      <x:c r="G487" s="39" t="n">
        <x:v>1</x:v>
      </x:c>
      <x:c r="H487" s="39" t="n">
        <x:v>1</x:v>
      </x:c>
      <x:c r="I487" s="39" t="n">
        <x:v>1</x:v>
      </x:c>
      <x:c r="J487" s="40" t="n">
        <x:f>B487/1000000000</x:f>
        <x:v>44.1</x:v>
      </x:c>
      <x:c r="K487" s="41" t="n">
        <x:f>IF(C487&lt;0,NA(),(F487-B487)/1000000)</x:f>
        <x:v>0.078095</x:v>
      </x:c>
      <x:c r="L487" s="39" t="n">
        <x:f>IF(C487&lt;0,1,IF(OR(G487=0,H487=0,I487=0,F487-B487&gt;100000000),1,0))</x:f>
        <x:v>0</x:v>
      </x:c>
      <x:c r="M487" s="39" t="n">
        <x:f>IF(C487&lt;0,1,0)</x:f>
        <x:v>0</x:v>
      </x:c>
      <x:c r="N487" s="1"/>
      <x:c r="O487" s="1"/>
      <x:c r="P487" s="1"/>
      <x:c r="Q487" s="1"/>
      <x:c r="R487" s="1"/>
    </x:row>
    <x:row r="488" ht="22" customHeight="1">
      <x:c r="A488" s="39" t="n">
        <x:v>442</x:v>
      </x:c>
      <x:c r="B488" s="39" t="n">
        <x:v>44200000000</x:v>
      </x:c>
      <x:c r="C488" s="39" t="n">
        <x:v>44200055342</x:v>
      </x:c>
      <x:c r="D488" s="39" t="n">
        <x:v>44200068638</x:v>
      </x:c>
      <x:c r="E488" s="39" t="n">
        <x:v>44200082211</x:v>
      </x:c>
      <x:c r="F488" s="39" t="n">
        <x:v>44200091693</x:v>
      </x:c>
      <x:c r="G488" s="39" t="n">
        <x:v>1</x:v>
      </x:c>
      <x:c r="H488" s="39" t="n">
        <x:v>1</x:v>
      </x:c>
      <x:c r="I488" s="39" t="n">
        <x:v>1</x:v>
      </x:c>
      <x:c r="J488" s="40" t="n">
        <x:f>B488/1000000000</x:f>
        <x:v>44.2</x:v>
      </x:c>
      <x:c r="K488" s="41" t="n">
        <x:f>IF(C488&lt;0,NA(),(F488-B488)/1000000)</x:f>
        <x:v>0.091693</x:v>
      </x:c>
      <x:c r="L488" s="39" t="n">
        <x:f>IF(C488&lt;0,1,IF(OR(G488=0,H488=0,I488=0,F488-B488&gt;100000000),1,0))</x:f>
        <x:v>0</x:v>
      </x:c>
      <x:c r="M488" s="39" t="n">
        <x:f>IF(C488&lt;0,1,0)</x:f>
        <x:v>0</x:v>
      </x:c>
      <x:c r="N488" s="1"/>
      <x:c r="O488" s="1"/>
      <x:c r="P488" s="1"/>
      <x:c r="Q488" s="1"/>
      <x:c r="R488" s="1"/>
    </x:row>
    <x:row r="489" ht="22" customHeight="1">
      <x:c r="A489" s="39" t="n">
        <x:v>443</x:v>
      </x:c>
      <x:c r="B489" s="39" t="n">
        <x:v>44300000000</x:v>
      </x:c>
      <x:c r="C489" s="39" t="n">
        <x:v>44300053884</x:v>
      </x:c>
      <x:c r="D489" s="39" t="n">
        <x:v>44300063939</x:v>
      </x:c>
      <x:c r="E489" s="39" t="n">
        <x:v>44300073439</x:v>
      </x:c>
      <x:c r="F489" s="39" t="n">
        <x:v>44300083013</x:v>
      </x:c>
      <x:c r="G489" s="39" t="n">
        <x:v>1</x:v>
      </x:c>
      <x:c r="H489" s="39" t="n">
        <x:v>1</x:v>
      </x:c>
      <x:c r="I489" s="39" t="n">
        <x:v>1</x:v>
      </x:c>
      <x:c r="J489" s="40" t="n">
        <x:f>B489/1000000000</x:f>
        <x:v>44.3</x:v>
      </x:c>
      <x:c r="K489" s="41" t="n">
        <x:f>IF(C489&lt;0,NA(),(F489-B489)/1000000)</x:f>
        <x:v>0.083013</x:v>
      </x:c>
      <x:c r="L489" s="39" t="n">
        <x:f>IF(C489&lt;0,1,IF(OR(G489=0,H489=0,I489=0,F489-B489&gt;100000000),1,0))</x:f>
        <x:v>0</x:v>
      </x:c>
      <x:c r="M489" s="39" t="n">
        <x:f>IF(C489&lt;0,1,0)</x:f>
        <x:v>0</x:v>
      </x:c>
      <x:c r="N489" s="1"/>
      <x:c r="O489" s="1"/>
      <x:c r="P489" s="1"/>
      <x:c r="Q489" s="1"/>
      <x:c r="R489" s="1"/>
    </x:row>
    <x:row r="490" ht="22" customHeight="1">
      <x:c r="A490" s="39" t="n">
        <x:v>444</x:v>
      </x:c>
      <x:c r="B490" s="39" t="n">
        <x:v>44400000000</x:v>
      </x:c>
      <x:c r="C490" s="39" t="n">
        <x:v>44400056426</x:v>
      </x:c>
      <x:c r="D490" s="39" t="n">
        <x:v>44400089630</x:v>
      </x:c>
      <x:c r="E490" s="39" t="n">
        <x:v>44400115370</x:v>
      </x:c>
      <x:c r="F490" s="39" t="n">
        <x:v>44400125481</x:v>
      </x:c>
      <x:c r="G490" s="39" t="n">
        <x:v>1</x:v>
      </x:c>
      <x:c r="H490" s="39" t="n">
        <x:v>1</x:v>
      </x:c>
      <x:c r="I490" s="39" t="n">
        <x:v>1</x:v>
      </x:c>
      <x:c r="J490" s="40" t="n">
        <x:f>B490/1000000000</x:f>
        <x:v>44.4</x:v>
      </x:c>
      <x:c r="K490" s="41" t="n">
        <x:f>IF(C490&lt;0,NA(),(F490-B490)/1000000)</x:f>
        <x:v>0.125481</x:v>
      </x:c>
      <x:c r="L490" s="39" t="n">
        <x:f>IF(C490&lt;0,1,IF(OR(G490=0,H490=0,I490=0,F490-B490&gt;100000000),1,0))</x:f>
        <x:v>0</x:v>
      </x:c>
      <x:c r="M490" s="39" t="n">
        <x:f>IF(C490&lt;0,1,0)</x:f>
        <x:v>0</x:v>
      </x:c>
      <x:c r="N490" s="1"/>
      <x:c r="O490" s="1"/>
      <x:c r="P490" s="1"/>
      <x:c r="Q490" s="1"/>
      <x:c r="R490" s="1"/>
    </x:row>
    <x:row r="491" ht="22" customHeight="1">
      <x:c r="A491" s="39" t="n">
        <x:v>445</x:v>
      </x:c>
      <x:c r="B491" s="39" t="n">
        <x:v>44500000000</x:v>
      </x:c>
      <x:c r="C491" s="39" t="n">
        <x:v>44500055728</x:v>
      </x:c>
      <x:c r="D491" s="39" t="n">
        <x:v>44500082228</x:v>
      </x:c>
      <x:c r="E491" s="39" t="n">
        <x:v>44500102598</x:v>
      </x:c>
      <x:c r="F491" s="39" t="n">
        <x:v>44500112375</x:v>
      </x:c>
      <x:c r="G491" s="39" t="n">
        <x:v>1</x:v>
      </x:c>
      <x:c r="H491" s="39" t="n">
        <x:v>1</x:v>
      </x:c>
      <x:c r="I491" s="39" t="n">
        <x:v>1</x:v>
      </x:c>
      <x:c r="J491" s="40" t="n">
        <x:f>B491/1000000000</x:f>
        <x:v>44.5</x:v>
      </x:c>
      <x:c r="K491" s="41" t="n">
        <x:f>IF(C491&lt;0,NA(),(F491-B491)/1000000)</x:f>
        <x:v>0.112375</x:v>
      </x:c>
      <x:c r="L491" s="39" t="n">
        <x:f>IF(C491&lt;0,1,IF(OR(G491=0,H491=0,I491=0,F491-B491&gt;100000000),1,0))</x:f>
        <x:v>0</x:v>
      </x:c>
      <x:c r="M491" s="39" t="n">
        <x:f>IF(C491&lt;0,1,0)</x:f>
        <x:v>0</x:v>
      </x:c>
      <x:c r="N491" s="1"/>
      <x:c r="O491" s="1"/>
      <x:c r="P491" s="1"/>
      <x:c r="Q491" s="1"/>
      <x:c r="R491" s="1"/>
    </x:row>
    <x:row r="492" ht="22" customHeight="1">
      <x:c r="A492" s="39" t="n">
        <x:v>446</x:v>
      </x:c>
      <x:c r="B492" s="39" t="n">
        <x:v>44600000000</x:v>
      </x:c>
      <x:c r="C492" s="39" t="n">
        <x:v>44600055400</x:v>
      </x:c>
      <x:c r="D492" s="39" t="n">
        <x:v>44600081770</x:v>
      </x:c>
      <x:c r="E492" s="39" t="n">
        <x:v>44600104973</x:v>
      </x:c>
      <x:c r="F492" s="39" t="n">
        <x:v>44600115529</x:v>
      </x:c>
      <x:c r="G492" s="39" t="n">
        <x:v>1</x:v>
      </x:c>
      <x:c r="H492" s="39" t="n">
        <x:v>1</x:v>
      </x:c>
      <x:c r="I492" s="39" t="n">
        <x:v>1</x:v>
      </x:c>
      <x:c r="J492" s="40" t="n">
        <x:f>B492/1000000000</x:f>
        <x:v>44.6</x:v>
      </x:c>
      <x:c r="K492" s="41" t="n">
        <x:f>IF(C492&lt;0,NA(),(F492-B492)/1000000)</x:f>
        <x:v>0.115529</x:v>
      </x:c>
      <x:c r="L492" s="39" t="n">
        <x:f>IF(C492&lt;0,1,IF(OR(G492=0,H492=0,I492=0,F492-B492&gt;100000000),1,0))</x:f>
        <x:v>0</x:v>
      </x:c>
      <x:c r="M492" s="39" t="n">
        <x:f>IF(C492&lt;0,1,0)</x:f>
        <x:v>0</x:v>
      </x:c>
      <x:c r="N492" s="1"/>
      <x:c r="O492" s="1"/>
      <x:c r="P492" s="1"/>
      <x:c r="Q492" s="1"/>
      <x:c r="R492" s="1"/>
    </x:row>
    <x:row r="493" ht="22" customHeight="1">
      <x:c r="A493" s="39" t="n">
        <x:v>447</x:v>
      </x:c>
      <x:c r="B493" s="39" t="n">
        <x:v>44700000000</x:v>
      </x:c>
      <x:c r="C493" s="39" t="n">
        <x:v>44700053350</x:v>
      </x:c>
      <x:c r="D493" s="39" t="n">
        <x:v>44700064813</x:v>
      </x:c>
      <x:c r="E493" s="39" t="n">
        <x:v>44700076961</x:v>
      </x:c>
      <x:c r="F493" s="39" t="n">
        <x:v>44700086405</x:v>
      </x:c>
      <x:c r="G493" s="39" t="n">
        <x:v>1</x:v>
      </x:c>
      <x:c r="H493" s="39" t="n">
        <x:v>1</x:v>
      </x:c>
      <x:c r="I493" s="39" t="n">
        <x:v>1</x:v>
      </x:c>
      <x:c r="J493" s="40" t="n">
        <x:f>B493/1000000000</x:f>
        <x:v>44.7</x:v>
      </x:c>
      <x:c r="K493" s="41" t="n">
        <x:f>IF(C493&lt;0,NA(),(F493-B493)/1000000)</x:f>
        <x:v>0.086405</x:v>
      </x:c>
      <x:c r="L493" s="39" t="n">
        <x:f>IF(C493&lt;0,1,IF(OR(G493=0,H493=0,I493=0,F493-B493&gt;100000000),1,0))</x:f>
        <x:v>0</x:v>
      </x:c>
      <x:c r="M493" s="39" t="n">
        <x:f>IF(C493&lt;0,1,0)</x:f>
        <x:v>0</x:v>
      </x:c>
      <x:c r="N493" s="1"/>
      <x:c r="O493" s="1"/>
      <x:c r="P493" s="1"/>
      <x:c r="Q493" s="1"/>
      <x:c r="R493" s="1"/>
    </x:row>
    <x:row r="494" ht="22" customHeight="1">
      <x:c r="A494" s="39" t="n">
        <x:v>448</x:v>
      </x:c>
      <x:c r="B494" s="39" t="n">
        <x:v>44800000000</x:v>
      </x:c>
      <x:c r="C494" s="39" t="n">
        <x:v>44800054263</x:v>
      </x:c>
      <x:c r="D494" s="39" t="n">
        <x:v>44800066318</x:v>
      </x:c>
      <x:c r="E494" s="39" t="n">
        <x:v>44800080985</x:v>
      </x:c>
      <x:c r="F494" s="39" t="n">
        <x:v>44800090670</x:v>
      </x:c>
      <x:c r="G494" s="39" t="n">
        <x:v>1</x:v>
      </x:c>
      <x:c r="H494" s="39" t="n">
        <x:v>1</x:v>
      </x:c>
      <x:c r="I494" s="39" t="n">
        <x:v>1</x:v>
      </x:c>
      <x:c r="J494" s="40" t="n">
        <x:f>B494/1000000000</x:f>
        <x:v>44.8</x:v>
      </x:c>
      <x:c r="K494" s="41" t="n">
        <x:f>IF(C494&lt;0,NA(),(F494-B494)/1000000)</x:f>
        <x:v>0.09067</x:v>
      </x:c>
      <x:c r="L494" s="39" t="n">
        <x:f>IF(C494&lt;0,1,IF(OR(G494=0,H494=0,I494=0,F494-B494&gt;100000000),1,0))</x:f>
        <x:v>0</x:v>
      </x:c>
      <x:c r="M494" s="39" t="n">
        <x:f>IF(C494&lt;0,1,0)</x:f>
        <x:v>0</x:v>
      </x:c>
      <x:c r="N494" s="1"/>
      <x:c r="O494" s="1"/>
      <x:c r="P494" s="1"/>
      <x:c r="Q494" s="1"/>
      <x:c r="R494" s="1"/>
    </x:row>
    <x:row r="495" ht="22" customHeight="1">
      <x:c r="A495" s="39" t="n">
        <x:v>449</x:v>
      </x:c>
      <x:c r="B495" s="39" t="n">
        <x:v>44900000000</x:v>
      </x:c>
      <x:c r="C495" s="39" t="n">
        <x:v>44900053305</x:v>
      </x:c>
      <x:c r="D495" s="39" t="n">
        <x:v>44900066989</x:v>
      </x:c>
      <x:c r="E495" s="39" t="n">
        <x:v>44900084934</x:v>
      </x:c>
      <x:c r="F495" s="39" t="n">
        <x:v>44900094470</x:v>
      </x:c>
      <x:c r="G495" s="39" t="n">
        <x:v>1</x:v>
      </x:c>
      <x:c r="H495" s="39" t="n">
        <x:v>1</x:v>
      </x:c>
      <x:c r="I495" s="39" t="n">
        <x:v>1</x:v>
      </x:c>
      <x:c r="J495" s="40" t="n">
        <x:f>B495/1000000000</x:f>
        <x:v>44.9</x:v>
      </x:c>
      <x:c r="K495" s="41" t="n">
        <x:f>IF(C495&lt;0,NA(),(F495-B495)/1000000)</x:f>
        <x:v>0.09447</x:v>
      </x:c>
      <x:c r="L495" s="39" t="n">
        <x:f>IF(C495&lt;0,1,IF(OR(G495=0,H495=0,I495=0,F495-B495&gt;100000000),1,0))</x:f>
        <x:v>0</x:v>
      </x:c>
      <x:c r="M495" s="39" t="n">
        <x:f>IF(C495&lt;0,1,0)</x:f>
        <x:v>0</x:v>
      </x:c>
      <x:c r="N495" s="1"/>
      <x:c r="O495" s="1"/>
      <x:c r="P495" s="1"/>
      <x:c r="Q495" s="1"/>
      <x:c r="R495" s="1"/>
    </x:row>
    <x:row r="496" ht="22" customHeight="1">
      <x:c r="A496" s="39" t="n">
        <x:v>450</x:v>
      </x:c>
      <x:c r="B496" s="39" t="n">
        <x:v>45000000000</x:v>
      </x:c>
      <x:c r="C496" s="39" t="n">
        <x:v>45000057372</x:v>
      </x:c>
      <x:c r="D496" s="39" t="n">
        <x:v>45000087982</x:v>
      </x:c>
      <x:c r="E496" s="39" t="n">
        <x:v>45000111038</x:v>
      </x:c>
      <x:c r="F496" s="39" t="n">
        <x:v>45000121000</x:v>
      </x:c>
      <x:c r="G496" s="39" t="n">
        <x:v>1</x:v>
      </x:c>
      <x:c r="H496" s="39" t="n">
        <x:v>1</x:v>
      </x:c>
      <x:c r="I496" s="39" t="n">
        <x:v>1</x:v>
      </x:c>
      <x:c r="J496" s="40" t="n">
        <x:f>B496/1000000000</x:f>
        <x:v>45</x:v>
      </x:c>
      <x:c r="K496" s="41" t="n">
        <x:f>IF(C496&lt;0,NA(),(F496-B496)/1000000)</x:f>
        <x:v>0.121</x:v>
      </x:c>
      <x:c r="L496" s="39" t="n">
        <x:f>IF(C496&lt;0,1,IF(OR(G496=0,H496=0,I496=0,F496-B496&gt;100000000),1,0))</x:f>
        <x:v>0</x:v>
      </x:c>
      <x:c r="M496" s="39" t="n">
        <x:f>IF(C496&lt;0,1,0)</x:f>
        <x:v>0</x:v>
      </x:c>
      <x:c r="N496" s="1"/>
      <x:c r="O496" s="1"/>
      <x:c r="P496" s="1"/>
      <x:c r="Q496" s="1"/>
      <x:c r="R496" s="1"/>
    </x:row>
    <x:row r="497" ht="22" customHeight="1">
      <x:c r="A497" s="39" t="n">
        <x:v>451</x:v>
      </x:c>
      <x:c r="B497" s="39" t="n">
        <x:v>45100000000</x:v>
      </x:c>
      <x:c r="C497" s="39" t="n">
        <x:v>45100053328</x:v>
      </x:c>
      <x:c r="D497" s="39" t="n">
        <x:v>45100066847</x:v>
      </x:c>
      <x:c r="E497" s="39" t="n">
        <x:v>45100080624</x:v>
      </x:c>
      <x:c r="F497" s="39" t="n">
        <x:v>45100090513</x:v>
      </x:c>
      <x:c r="G497" s="39" t="n">
        <x:v>1</x:v>
      </x:c>
      <x:c r="H497" s="39" t="n">
        <x:v>1</x:v>
      </x:c>
      <x:c r="I497" s="39" t="n">
        <x:v>1</x:v>
      </x:c>
      <x:c r="J497" s="40" t="n">
        <x:f>B497/1000000000</x:f>
        <x:v>45.1</x:v>
      </x:c>
      <x:c r="K497" s="41" t="n">
        <x:f>IF(C497&lt;0,NA(),(F497-B497)/1000000)</x:f>
        <x:v>0.090513</x:v>
      </x:c>
      <x:c r="L497" s="39" t="n">
        <x:f>IF(C497&lt;0,1,IF(OR(G497=0,H497=0,I497=0,F497-B497&gt;100000000),1,0))</x:f>
        <x:v>0</x:v>
      </x:c>
      <x:c r="M497" s="39" t="n">
        <x:f>IF(C497&lt;0,1,0)</x:f>
        <x:v>0</x:v>
      </x:c>
      <x:c r="N497" s="1"/>
      <x:c r="O497" s="1"/>
      <x:c r="P497" s="1"/>
      <x:c r="Q497" s="1"/>
      <x:c r="R497" s="1"/>
    </x:row>
    <x:row r="498" ht="22" customHeight="1">
      <x:c r="A498" s="39" t="n">
        <x:v>452</x:v>
      </x:c>
      <x:c r="B498" s="39" t="n">
        <x:v>45200000000</x:v>
      </x:c>
      <x:c r="C498" s="39" t="n">
        <x:v>45200053840</x:v>
      </x:c>
      <x:c r="D498" s="39" t="n">
        <x:v>45200067858</x:v>
      </x:c>
      <x:c r="E498" s="39" t="n">
        <x:v>45200080988</x:v>
      </x:c>
      <x:c r="F498" s="39" t="n">
        <x:v>45200090728</x:v>
      </x:c>
      <x:c r="G498" s="39" t="n">
        <x:v>1</x:v>
      </x:c>
      <x:c r="H498" s="39" t="n">
        <x:v>1</x:v>
      </x:c>
      <x:c r="I498" s="39" t="n">
        <x:v>1</x:v>
      </x:c>
      <x:c r="J498" s="40" t="n">
        <x:f>B498/1000000000</x:f>
        <x:v>45.2</x:v>
      </x:c>
      <x:c r="K498" s="41" t="n">
        <x:f>IF(C498&lt;0,NA(),(F498-B498)/1000000)</x:f>
        <x:v>0.090728</x:v>
      </x:c>
      <x:c r="L498" s="39" t="n">
        <x:f>IF(C498&lt;0,1,IF(OR(G498=0,H498=0,I498=0,F498-B498&gt;100000000),1,0))</x:f>
        <x:v>0</x:v>
      </x:c>
      <x:c r="M498" s="39" t="n">
        <x:f>IF(C498&lt;0,1,0)</x:f>
        <x:v>0</x:v>
      </x:c>
      <x:c r="N498" s="1"/>
      <x:c r="O498" s="1"/>
      <x:c r="P498" s="1"/>
      <x:c r="Q498" s="1"/>
      <x:c r="R498" s="1"/>
    </x:row>
    <x:row r="499" ht="22" customHeight="1">
      <x:c r="A499" s="39" t="n">
        <x:v>453</x:v>
      </x:c>
      <x:c r="B499" s="39" t="n">
        <x:v>45300000000</x:v>
      </x:c>
      <x:c r="C499" s="39" t="n">
        <x:v>45300055111</x:v>
      </x:c>
      <x:c r="D499" s="39" t="n">
        <x:v>45300069981</x:v>
      </x:c>
      <x:c r="E499" s="39" t="n">
        <x:v>45300084389</x:v>
      </x:c>
      <x:c r="F499" s="39" t="n">
        <x:v>45300094203</x:v>
      </x:c>
      <x:c r="G499" s="39" t="n">
        <x:v>1</x:v>
      </x:c>
      <x:c r="H499" s="39" t="n">
        <x:v>1</x:v>
      </x:c>
      <x:c r="I499" s="39" t="n">
        <x:v>1</x:v>
      </x:c>
      <x:c r="J499" s="40" t="n">
        <x:f>B499/1000000000</x:f>
        <x:v>45.3</x:v>
      </x:c>
      <x:c r="K499" s="41" t="n">
        <x:f>IF(C499&lt;0,NA(),(F499-B499)/1000000)</x:f>
        <x:v>0.094203</x:v>
      </x:c>
      <x:c r="L499" s="39" t="n">
        <x:f>IF(C499&lt;0,1,IF(OR(G499=0,H499=0,I499=0,F499-B499&gt;100000000),1,0))</x:f>
        <x:v>0</x:v>
      </x:c>
      <x:c r="M499" s="39" t="n">
        <x:f>IF(C499&lt;0,1,0)</x:f>
        <x:v>0</x:v>
      </x:c>
      <x:c r="N499" s="1"/>
      <x:c r="O499" s="1"/>
      <x:c r="P499" s="1"/>
      <x:c r="Q499" s="1"/>
      <x:c r="R499" s="1"/>
    </x:row>
    <x:row r="500" ht="22" customHeight="1">
      <x:c r="A500" s="39" t="n">
        <x:v>454</x:v>
      </x:c>
      <x:c r="B500" s="39" t="n">
        <x:v>45400000000</x:v>
      </x:c>
      <x:c r="C500" s="39" t="n">
        <x:v>45400053938</x:v>
      </x:c>
      <x:c r="D500" s="39" t="n">
        <x:v>45400069567</x:v>
      </x:c>
      <x:c r="E500" s="39" t="n">
        <x:v>45400084530</x:v>
      </x:c>
      <x:c r="F500" s="39" t="n">
        <x:v>45400094215</x:v>
      </x:c>
      <x:c r="G500" s="39" t="n">
        <x:v>1</x:v>
      </x:c>
      <x:c r="H500" s="39" t="n">
        <x:v>1</x:v>
      </x:c>
      <x:c r="I500" s="39" t="n">
        <x:v>1</x:v>
      </x:c>
      <x:c r="J500" s="40" t="n">
        <x:f>B500/1000000000</x:f>
        <x:v>45.4</x:v>
      </x:c>
      <x:c r="K500" s="41" t="n">
        <x:f>IF(C500&lt;0,NA(),(F500-B500)/1000000)</x:f>
        <x:v>0.094215</x:v>
      </x:c>
      <x:c r="L500" s="39" t="n">
        <x:f>IF(C500&lt;0,1,IF(OR(G500=0,H500=0,I500=0,F500-B500&gt;100000000),1,0))</x:f>
        <x:v>0</x:v>
      </x:c>
      <x:c r="M500" s="39" t="n">
        <x:f>IF(C500&lt;0,1,0)</x:f>
        <x:v>0</x:v>
      </x:c>
      <x:c r="N500" s="1"/>
      <x:c r="O500" s="1"/>
      <x:c r="P500" s="1"/>
      <x:c r="Q500" s="1"/>
      <x:c r="R500" s="1"/>
    </x:row>
    <x:row r="501" ht="22" customHeight="1">
      <x:c r="A501" s="39" t="n">
        <x:v>455</x:v>
      </x:c>
      <x:c r="B501" s="39" t="n">
        <x:v>45500000000</x:v>
      </x:c>
      <x:c r="C501" s="39" t="n">
        <x:v>45500056394</x:v>
      </x:c>
      <x:c r="D501" s="39" t="n">
        <x:v>45500078783</x:v>
      </x:c>
      <x:c r="E501" s="39" t="n">
        <x:v>45500097190</x:v>
      </x:c>
      <x:c r="F501" s="39" t="n">
        <x:v>45500106764</x:v>
      </x:c>
      <x:c r="G501" s="39" t="n">
        <x:v>1</x:v>
      </x:c>
      <x:c r="H501" s="39" t="n">
        <x:v>1</x:v>
      </x:c>
      <x:c r="I501" s="39" t="n">
        <x:v>1</x:v>
      </x:c>
      <x:c r="J501" s="40" t="n">
        <x:f>B501/1000000000</x:f>
        <x:v>45.5</x:v>
      </x:c>
      <x:c r="K501" s="41" t="n">
        <x:f>IF(C501&lt;0,NA(),(F501-B501)/1000000)</x:f>
        <x:v>0.106764</x:v>
      </x:c>
      <x:c r="L501" s="39" t="n">
        <x:f>IF(C501&lt;0,1,IF(OR(G501=0,H501=0,I501=0,F501-B501&gt;100000000),1,0))</x:f>
        <x:v>0</x:v>
      </x:c>
      <x:c r="M501" s="39" t="n">
        <x:f>IF(C501&lt;0,1,0)</x:f>
        <x:v>0</x:v>
      </x:c>
      <x:c r="N501" s="1"/>
      <x:c r="O501" s="1"/>
      <x:c r="P501" s="1"/>
      <x:c r="Q501" s="1"/>
      <x:c r="R501" s="1"/>
    </x:row>
    <x:row r="502" ht="22" customHeight="1">
      <x:c r="A502" s="39" t="n">
        <x:v>456</x:v>
      </x:c>
      <x:c r="B502" s="39" t="n">
        <x:v>45600000000</x:v>
      </x:c>
      <x:c r="C502" s="39" t="n">
        <x:v>45600057443</x:v>
      </x:c>
      <x:c r="D502" s="39" t="n">
        <x:v>45600086128</x:v>
      </x:c>
      <x:c r="E502" s="39" t="n">
        <x:v>45600110276</x:v>
      </x:c>
      <x:c r="F502" s="39" t="n">
        <x:v>45600120220</x:v>
      </x:c>
      <x:c r="G502" s="39" t="n">
        <x:v>1</x:v>
      </x:c>
      <x:c r="H502" s="39" t="n">
        <x:v>1</x:v>
      </x:c>
      <x:c r="I502" s="39" t="n">
        <x:v>1</x:v>
      </x:c>
      <x:c r="J502" s="40" t="n">
        <x:f>B502/1000000000</x:f>
        <x:v>45.6</x:v>
      </x:c>
      <x:c r="K502" s="41" t="n">
        <x:f>IF(C502&lt;0,NA(),(F502-B502)/1000000)</x:f>
        <x:v>0.12022</x:v>
      </x:c>
      <x:c r="L502" s="39" t="n">
        <x:f>IF(C502&lt;0,1,IF(OR(G502=0,H502=0,I502=0,F502-B502&gt;100000000),1,0))</x:f>
        <x:v>0</x:v>
      </x:c>
      <x:c r="M502" s="39" t="n">
        <x:f>IF(C502&lt;0,1,0)</x:f>
        <x:v>0</x:v>
      </x:c>
      <x:c r="N502" s="1"/>
      <x:c r="O502" s="1"/>
      <x:c r="P502" s="1"/>
      <x:c r="Q502" s="1"/>
      <x:c r="R502" s="1"/>
    </x:row>
    <x:row r="503" ht="22" customHeight="1">
      <x:c r="A503" s="39" t="n">
        <x:v>457</x:v>
      </x:c>
      <x:c r="B503" s="39" t="n">
        <x:v>45700000000</x:v>
      </x:c>
      <x:c r="C503" s="39" t="n">
        <x:v>45700053918</x:v>
      </x:c>
      <x:c r="D503" s="39" t="n">
        <x:v>45700066122</x:v>
      </x:c>
      <x:c r="E503" s="39" t="n">
        <x:v>45700079381</x:v>
      </x:c>
      <x:c r="F503" s="39" t="n">
        <x:v>45700088899</x:v>
      </x:c>
      <x:c r="G503" s="39" t="n">
        <x:v>1</x:v>
      </x:c>
      <x:c r="H503" s="39" t="n">
        <x:v>1</x:v>
      </x:c>
      <x:c r="I503" s="39" t="n">
        <x:v>1</x:v>
      </x:c>
      <x:c r="J503" s="40" t="n">
        <x:f>B503/1000000000</x:f>
        <x:v>45.7</x:v>
      </x:c>
      <x:c r="K503" s="41" t="n">
        <x:f>IF(C503&lt;0,NA(),(F503-B503)/1000000)</x:f>
        <x:v>0.088899</x:v>
      </x:c>
      <x:c r="L503" s="39" t="n">
        <x:f>IF(C503&lt;0,1,IF(OR(G503=0,H503=0,I503=0,F503-B503&gt;100000000),1,0))</x:f>
        <x:v>0</x:v>
      </x:c>
      <x:c r="M503" s="39" t="n">
        <x:f>IF(C503&lt;0,1,0)</x:f>
        <x:v>0</x:v>
      </x:c>
      <x:c r="N503" s="1"/>
      <x:c r="O503" s="1"/>
      <x:c r="P503" s="1"/>
      <x:c r="Q503" s="1"/>
      <x:c r="R503" s="1"/>
    </x:row>
    <x:row r="504" ht="22" customHeight="1">
      <x:c r="A504" s="39" t="n">
        <x:v>458</x:v>
      </x:c>
      <x:c r="B504" s="39" t="n">
        <x:v>45800000000</x:v>
      </x:c>
      <x:c r="C504" s="39" t="n">
        <x:v>45800053097</x:v>
      </x:c>
      <x:c r="D504" s="39" t="n">
        <x:v>45800062523</x:v>
      </x:c>
      <x:c r="E504" s="39" t="n">
        <x:v>45800073282</x:v>
      </x:c>
      <x:c r="F504" s="39" t="n">
        <x:v>45800082744</x:v>
      </x:c>
      <x:c r="G504" s="39" t="n">
        <x:v>1</x:v>
      </x:c>
      <x:c r="H504" s="39" t="n">
        <x:v>1</x:v>
      </x:c>
      <x:c r="I504" s="39" t="n">
        <x:v>1</x:v>
      </x:c>
      <x:c r="J504" s="40" t="n">
        <x:f>B504/1000000000</x:f>
        <x:v>45.8</x:v>
      </x:c>
      <x:c r="K504" s="41" t="n">
        <x:f>IF(C504&lt;0,NA(),(F504-B504)/1000000)</x:f>
        <x:v>0.082744</x:v>
      </x:c>
      <x:c r="L504" s="39" t="n">
        <x:f>IF(C504&lt;0,1,IF(OR(G504=0,H504=0,I504=0,F504-B504&gt;100000000),1,0))</x:f>
        <x:v>0</x:v>
      </x:c>
      <x:c r="M504" s="39" t="n">
        <x:f>IF(C504&lt;0,1,0)</x:f>
        <x:v>0</x:v>
      </x:c>
      <x:c r="N504" s="1"/>
      <x:c r="O504" s="1"/>
      <x:c r="P504" s="1"/>
      <x:c r="Q504" s="1"/>
      <x:c r="R504" s="1"/>
    </x:row>
    <x:row r="505" ht="22" customHeight="1">
      <x:c r="A505" s="39" t="n">
        <x:v>459</x:v>
      </x:c>
      <x:c r="B505" s="39" t="n">
        <x:v>45900000000</x:v>
      </x:c>
      <x:c r="C505" s="39" t="n">
        <x:v>45900053624</x:v>
      </x:c>
      <x:c r="D505" s="39" t="n">
        <x:v>45900065957</x:v>
      </x:c>
      <x:c r="E505" s="39" t="n">
        <x:v>45900079957</x:v>
      </x:c>
      <x:c r="F505" s="39" t="n">
        <x:v>45900089401</x:v>
      </x:c>
      <x:c r="G505" s="39" t="n">
        <x:v>1</x:v>
      </x:c>
      <x:c r="H505" s="39" t="n">
        <x:v>1</x:v>
      </x:c>
      <x:c r="I505" s="39" t="n">
        <x:v>1</x:v>
      </x:c>
      <x:c r="J505" s="40" t="n">
        <x:f>B505/1000000000</x:f>
        <x:v>45.9</x:v>
      </x:c>
      <x:c r="K505" s="41" t="n">
        <x:f>IF(C505&lt;0,NA(),(F505-B505)/1000000)</x:f>
        <x:v>0.089401</x:v>
      </x:c>
      <x:c r="L505" s="39" t="n">
        <x:f>IF(C505&lt;0,1,IF(OR(G505=0,H505=0,I505=0,F505-B505&gt;100000000),1,0))</x:f>
        <x:v>0</x:v>
      </x:c>
      <x:c r="M505" s="39" t="n">
        <x:f>IF(C505&lt;0,1,0)</x:f>
        <x:v>0</x:v>
      </x:c>
      <x:c r="N505" s="1"/>
      <x:c r="O505" s="1"/>
      <x:c r="P505" s="1"/>
      <x:c r="Q505" s="1"/>
      <x:c r="R505" s="1"/>
    </x:row>
    <x:row r="506" ht="22" customHeight="1">
      <x:c r="A506" s="39" t="n">
        <x:v>460</x:v>
      </x:c>
      <x:c r="B506" s="39" t="n">
        <x:v>46000000000</x:v>
      </x:c>
      <x:c r="C506" s="39" t="n">
        <x:v>46000054399</x:v>
      </x:c>
      <x:c r="D506" s="39" t="n">
        <x:v>46000067380</x:v>
      </x:c>
      <x:c r="E506" s="39" t="n">
        <x:v>46000080417</x:v>
      </x:c>
      <x:c r="F506" s="39" t="n">
        <x:v>46000090065</x:v>
      </x:c>
      <x:c r="G506" s="39" t="n">
        <x:v>1</x:v>
      </x:c>
      <x:c r="H506" s="39" t="n">
        <x:v>1</x:v>
      </x:c>
      <x:c r="I506" s="39" t="n">
        <x:v>1</x:v>
      </x:c>
      <x:c r="J506" s="40" t="n">
        <x:f>B506/1000000000</x:f>
        <x:v>46</x:v>
      </x:c>
      <x:c r="K506" s="41" t="n">
        <x:f>IF(C506&lt;0,NA(),(F506-B506)/1000000)</x:f>
        <x:v>0.090065</x:v>
      </x:c>
      <x:c r="L506" s="39" t="n">
        <x:f>IF(C506&lt;0,1,IF(OR(G506=0,H506=0,I506=0,F506-B506&gt;100000000),1,0))</x:f>
        <x:v>0</x:v>
      </x:c>
      <x:c r="M506" s="39" t="n">
        <x:f>IF(C506&lt;0,1,0)</x:f>
        <x:v>0</x:v>
      </x:c>
      <x:c r="N506" s="1"/>
      <x:c r="O506" s="1"/>
      <x:c r="P506" s="1"/>
      <x:c r="Q506" s="1"/>
      <x:c r="R506" s="1"/>
    </x:row>
    <x:row r="507" ht="22" customHeight="1">
      <x:c r="A507" s="39" t="n">
        <x:v>461</x:v>
      </x:c>
      <x:c r="B507" s="39" t="n">
        <x:v>46100000000</x:v>
      </x:c>
      <x:c r="C507" s="39" t="n">
        <x:v>46100053304</x:v>
      </x:c>
      <x:c r="D507" s="39" t="n">
        <x:v>46100063767</x:v>
      </x:c>
      <x:c r="E507" s="39" t="n">
        <x:v>46100075211</x:v>
      </x:c>
      <x:c r="F507" s="39" t="n">
        <x:v>46100084785</x:v>
      </x:c>
      <x:c r="G507" s="39" t="n">
        <x:v>1</x:v>
      </x:c>
      <x:c r="H507" s="39" t="n">
        <x:v>1</x:v>
      </x:c>
      <x:c r="I507" s="39" t="n">
        <x:v>1</x:v>
      </x:c>
      <x:c r="J507" s="40" t="n">
        <x:f>B507/1000000000</x:f>
        <x:v>46.1</x:v>
      </x:c>
      <x:c r="K507" s="41" t="n">
        <x:f>IF(C507&lt;0,NA(),(F507-B507)/1000000)</x:f>
        <x:v>0.084785</x:v>
      </x:c>
      <x:c r="L507" s="39" t="n">
        <x:f>IF(C507&lt;0,1,IF(OR(G507=0,H507=0,I507=0,F507-B507&gt;100000000),1,0))</x:f>
        <x:v>0</x:v>
      </x:c>
      <x:c r="M507" s="39" t="n">
        <x:f>IF(C507&lt;0,1,0)</x:f>
        <x:v>0</x:v>
      </x:c>
      <x:c r="N507" s="1"/>
      <x:c r="O507" s="1"/>
      <x:c r="P507" s="1"/>
      <x:c r="Q507" s="1"/>
      <x:c r="R507" s="1"/>
    </x:row>
    <x:row r="508" ht="22" customHeight="1">
      <x:c r="A508" s="39" t="n">
        <x:v>462</x:v>
      </x:c>
      <x:c r="B508" s="39" t="n">
        <x:v>46200000000</x:v>
      </x:c>
      <x:c r="C508" s="39" t="n">
        <x:v>46200057745</x:v>
      </x:c>
      <x:c r="D508" s="39" t="n">
        <x:v>46200091615</x:v>
      </x:c>
      <x:c r="E508" s="39" t="n">
        <x:v>46200117281</x:v>
      </x:c>
      <x:c r="F508" s="39" t="n">
        <x:v>46200127355</x:v>
      </x:c>
      <x:c r="G508" s="39" t="n">
        <x:v>1</x:v>
      </x:c>
      <x:c r="H508" s="39" t="n">
        <x:v>1</x:v>
      </x:c>
      <x:c r="I508" s="39" t="n">
        <x:v>1</x:v>
      </x:c>
      <x:c r="J508" s="40" t="n">
        <x:f>B508/1000000000</x:f>
        <x:v>46.2</x:v>
      </x:c>
      <x:c r="K508" s="41" t="n">
        <x:f>IF(C508&lt;0,NA(),(F508-B508)/1000000)</x:f>
        <x:v>0.127355</x:v>
      </x:c>
      <x:c r="L508" s="39" t="n">
        <x:f>IF(C508&lt;0,1,IF(OR(G508=0,H508=0,I508=0,F508-B508&gt;100000000),1,0))</x:f>
        <x:v>0</x:v>
      </x:c>
      <x:c r="M508" s="39" t="n">
        <x:f>IF(C508&lt;0,1,0)</x:f>
        <x:v>0</x:v>
      </x:c>
      <x:c r="N508" s="1"/>
      <x:c r="O508" s="1"/>
      <x:c r="P508" s="1"/>
      <x:c r="Q508" s="1"/>
      <x:c r="R508" s="1"/>
    </x:row>
    <x:row r="509" ht="22" customHeight="1">
      <x:c r="A509" s="39" t="n">
        <x:v>463</x:v>
      </x:c>
      <x:c r="B509" s="39" t="n">
        <x:v>46300000000</x:v>
      </x:c>
      <x:c r="C509" s="39" t="n">
        <x:v>46300053946</x:v>
      </x:c>
      <x:c r="D509" s="39" t="n">
        <x:v>46300068724</x:v>
      </x:c>
      <x:c r="E509" s="39" t="n">
        <x:v>46300086353</x:v>
      </x:c>
      <x:c r="F509" s="39" t="n">
        <x:v>46300096168</x:v>
      </x:c>
      <x:c r="G509" s="39" t="n">
        <x:v>1</x:v>
      </x:c>
      <x:c r="H509" s="39" t="n">
        <x:v>1</x:v>
      </x:c>
      <x:c r="I509" s="39" t="n">
        <x:v>1</x:v>
      </x:c>
      <x:c r="J509" s="40" t="n">
        <x:f>B509/1000000000</x:f>
        <x:v>46.3</x:v>
      </x:c>
      <x:c r="K509" s="41" t="n">
        <x:f>IF(C509&lt;0,NA(),(F509-B509)/1000000)</x:f>
        <x:v>0.096168</x:v>
      </x:c>
      <x:c r="L509" s="39" t="n">
        <x:f>IF(C509&lt;0,1,IF(OR(G509=0,H509=0,I509=0,F509-B509&gt;100000000),1,0))</x:f>
        <x:v>0</x:v>
      </x:c>
      <x:c r="M509" s="39" t="n">
        <x:f>IF(C509&lt;0,1,0)</x:f>
        <x:v>0</x:v>
      </x:c>
      <x:c r="N509" s="1"/>
      <x:c r="O509" s="1"/>
      <x:c r="P509" s="1"/>
      <x:c r="Q509" s="1"/>
      <x:c r="R509" s="1"/>
    </x:row>
    <x:row r="510" ht="22" customHeight="1">
      <x:c r="A510" s="39" t="n">
        <x:v>464</x:v>
      </x:c>
      <x:c r="B510" s="39" t="n">
        <x:v>46400000000</x:v>
      </x:c>
      <x:c r="C510" s="39" t="n">
        <x:v>46400053258</x:v>
      </x:c>
      <x:c r="D510" s="39" t="n">
        <x:v>46400065147</x:v>
      </x:c>
      <x:c r="E510" s="39" t="n">
        <x:v>46400078572</x:v>
      </x:c>
      <x:c r="F510" s="39" t="n">
        <x:v>46400088554</x:v>
      </x:c>
      <x:c r="G510" s="39" t="n">
        <x:v>1</x:v>
      </x:c>
      <x:c r="H510" s="39" t="n">
        <x:v>1</x:v>
      </x:c>
      <x:c r="I510" s="39" t="n">
        <x:v>1</x:v>
      </x:c>
      <x:c r="J510" s="40" t="n">
        <x:f>B510/1000000000</x:f>
        <x:v>46.4</x:v>
      </x:c>
      <x:c r="K510" s="41" t="n">
        <x:f>IF(C510&lt;0,NA(),(F510-B510)/1000000)</x:f>
        <x:v>0.088554</x:v>
      </x:c>
      <x:c r="L510" s="39" t="n">
        <x:f>IF(C510&lt;0,1,IF(OR(G510=0,H510=0,I510=0,F510-B510&gt;100000000),1,0))</x:f>
        <x:v>0</x:v>
      </x:c>
      <x:c r="M510" s="39" t="n">
        <x:f>IF(C510&lt;0,1,0)</x:f>
        <x:v>0</x:v>
      </x:c>
      <x:c r="N510" s="1"/>
      <x:c r="O510" s="1"/>
      <x:c r="P510" s="1"/>
      <x:c r="Q510" s="1"/>
      <x:c r="R510" s="1"/>
    </x:row>
    <x:row r="511" ht="22" customHeight="1">
      <x:c r="A511" s="39" t="n">
        <x:v>465</x:v>
      </x:c>
      <x:c r="B511" s="39" t="n">
        <x:v>46500000000</x:v>
      </x:c>
      <x:c r="C511" s="39" t="n">
        <x:v>46500053718</x:v>
      </x:c>
      <x:c r="D511" s="39" t="n">
        <x:v>46500066292</x:v>
      </x:c>
      <x:c r="E511" s="39" t="n">
        <x:v>46500079940</x:v>
      </x:c>
      <x:c r="F511" s="39" t="n">
        <x:v>46500089699</x:v>
      </x:c>
      <x:c r="G511" s="39" t="n">
        <x:v>1</x:v>
      </x:c>
      <x:c r="H511" s="39" t="n">
        <x:v>1</x:v>
      </x:c>
      <x:c r="I511" s="39" t="n">
        <x:v>1</x:v>
      </x:c>
      <x:c r="J511" s="40" t="n">
        <x:f>B511/1000000000</x:f>
        <x:v>46.5</x:v>
      </x:c>
      <x:c r="K511" s="41" t="n">
        <x:f>IF(C511&lt;0,NA(),(F511-B511)/1000000)</x:f>
        <x:v>0.089699</x:v>
      </x:c>
      <x:c r="L511" s="39" t="n">
        <x:f>IF(C511&lt;0,1,IF(OR(G511=0,H511=0,I511=0,F511-B511&gt;100000000),1,0))</x:f>
        <x:v>0</x:v>
      </x:c>
      <x:c r="M511" s="39" t="n">
        <x:f>IF(C511&lt;0,1,0)</x:f>
        <x:v>0</x:v>
      </x:c>
      <x:c r="N511" s="1"/>
      <x:c r="O511" s="1"/>
      <x:c r="P511" s="1"/>
      <x:c r="Q511" s="1"/>
      <x:c r="R511" s="1"/>
    </x:row>
    <x:row r="512" ht="22" customHeight="1">
      <x:c r="A512" s="39" t="n">
        <x:v>466</x:v>
      </x:c>
      <x:c r="B512" s="39" t="n">
        <x:v>46600000000</x:v>
      </x:c>
      <x:c r="C512" s="39" t="n">
        <x:v>46600053956</x:v>
      </x:c>
      <x:c r="D512" s="39" t="n">
        <x:v>46600067178</x:v>
      </x:c>
      <x:c r="E512" s="39" t="n">
        <x:v>46600080956</x:v>
      </x:c>
      <x:c r="F512" s="39" t="n">
        <x:v>46600090659</x:v>
      </x:c>
      <x:c r="G512" s="39" t="n">
        <x:v>1</x:v>
      </x:c>
      <x:c r="H512" s="39" t="n">
        <x:v>1</x:v>
      </x:c>
      <x:c r="I512" s="39" t="n">
        <x:v>1</x:v>
      </x:c>
      <x:c r="J512" s="40" t="n">
        <x:f>B512/1000000000</x:f>
        <x:v>46.6</x:v>
      </x:c>
      <x:c r="K512" s="41" t="n">
        <x:f>IF(C512&lt;0,NA(),(F512-B512)/1000000)</x:f>
        <x:v>0.090659</x:v>
      </x:c>
      <x:c r="L512" s="39" t="n">
        <x:f>IF(C512&lt;0,1,IF(OR(G512=0,H512=0,I512=0,F512-B512&gt;100000000),1,0))</x:f>
        <x:v>0</x:v>
      </x:c>
      <x:c r="M512" s="39" t="n">
        <x:f>IF(C512&lt;0,1,0)</x:f>
        <x:v>0</x:v>
      </x:c>
      <x:c r="N512" s="1"/>
      <x:c r="O512" s="1"/>
      <x:c r="P512" s="1"/>
      <x:c r="Q512" s="1"/>
      <x:c r="R512" s="1"/>
    </x:row>
    <x:row r="513" ht="22" customHeight="1">
      <x:c r="A513" s="39" t="n">
        <x:v>467</x:v>
      </x:c>
      <x:c r="B513" s="39" t="n">
        <x:v>46700000000</x:v>
      </x:c>
      <x:c r="C513" s="39" t="n">
        <x:v>46700053972</x:v>
      </x:c>
      <x:c r="D513" s="39" t="n">
        <x:v>46700063527</x:v>
      </x:c>
      <x:c r="E513" s="39" t="n">
        <x:v>46700074360</x:v>
      </x:c>
      <x:c r="F513" s="39" t="n">
        <x:v>46700083860</x:v>
      </x:c>
      <x:c r="G513" s="39" t="n">
        <x:v>1</x:v>
      </x:c>
      <x:c r="H513" s="39" t="n">
        <x:v>1</x:v>
      </x:c>
      <x:c r="I513" s="39" t="n">
        <x:v>1</x:v>
      </x:c>
      <x:c r="J513" s="40" t="n">
        <x:f>B513/1000000000</x:f>
        <x:v>46.7</x:v>
      </x:c>
      <x:c r="K513" s="41" t="n">
        <x:f>IF(C513&lt;0,NA(),(F513-B513)/1000000)</x:f>
        <x:v>0.08386</x:v>
      </x:c>
      <x:c r="L513" s="39" t="n">
        <x:f>IF(C513&lt;0,1,IF(OR(G513=0,H513=0,I513=0,F513-B513&gt;100000000),1,0))</x:f>
        <x:v>0</x:v>
      </x:c>
      <x:c r="M513" s="39" t="n">
        <x:f>IF(C513&lt;0,1,0)</x:f>
        <x:v>0</x:v>
      </x:c>
      <x:c r="N513" s="1"/>
      <x:c r="O513" s="1"/>
      <x:c r="P513" s="1"/>
      <x:c r="Q513" s="1"/>
      <x:c r="R513" s="1"/>
    </x:row>
    <x:row r="514" ht="22" customHeight="1">
      <x:c r="A514" s="39" t="n">
        <x:v>468</x:v>
      </x:c>
      <x:c r="B514" s="39" t="n">
        <x:v>46800000000</x:v>
      </x:c>
      <x:c r="C514" s="39" t="n">
        <x:v>46800061098</x:v>
      </x:c>
      <x:c r="D514" s="39" t="n">
        <x:v>46800100912</x:v>
      </x:c>
      <x:c r="E514" s="39" t="n">
        <x:v>46800128616</x:v>
      </x:c>
      <x:c r="F514" s="39" t="n">
        <x:v>46800139078</x:v>
      </x:c>
      <x:c r="G514" s="39" t="n">
        <x:v>1</x:v>
      </x:c>
      <x:c r="H514" s="39" t="n">
        <x:v>1</x:v>
      </x:c>
      <x:c r="I514" s="39" t="n">
        <x:v>1</x:v>
      </x:c>
      <x:c r="J514" s="40" t="n">
        <x:f>B514/1000000000</x:f>
        <x:v>46.8</x:v>
      </x:c>
      <x:c r="K514" s="41" t="n">
        <x:f>IF(C514&lt;0,NA(),(F514-B514)/1000000)</x:f>
        <x:v>0.139078</x:v>
      </x:c>
      <x:c r="L514" s="39" t="n">
        <x:f>IF(C514&lt;0,1,IF(OR(G514=0,H514=0,I514=0,F514-B514&gt;100000000),1,0))</x:f>
        <x:v>0</x:v>
      </x:c>
      <x:c r="M514" s="39" t="n">
        <x:f>IF(C514&lt;0,1,0)</x:f>
        <x:v>0</x:v>
      </x:c>
      <x:c r="N514" s="1"/>
      <x:c r="O514" s="1"/>
      <x:c r="P514" s="1"/>
      <x:c r="Q514" s="1"/>
      <x:c r="R514" s="1"/>
    </x:row>
    <x:row r="515" ht="22" customHeight="1">
      <x:c r="A515" s="39" t="n">
        <x:v>469</x:v>
      </x:c>
      <x:c r="B515" s="39" t="n">
        <x:v>46900000000</x:v>
      </x:c>
      <x:c r="C515" s="39" t="n">
        <x:v>46900054517</x:v>
      </x:c>
      <x:c r="D515" s="39" t="n">
        <x:v>46900072220</x:v>
      </x:c>
      <x:c r="E515" s="39" t="n">
        <x:v>46900087275</x:v>
      </x:c>
      <x:c r="F515" s="39" t="n">
        <x:v>46900097460</x:v>
      </x:c>
      <x:c r="G515" s="39" t="n">
        <x:v>1</x:v>
      </x:c>
      <x:c r="H515" s="39" t="n">
        <x:v>1</x:v>
      </x:c>
      <x:c r="I515" s="39" t="n">
        <x:v>1</x:v>
      </x:c>
      <x:c r="J515" s="40" t="n">
        <x:f>B515/1000000000</x:f>
        <x:v>46.9</x:v>
      </x:c>
      <x:c r="K515" s="41" t="n">
        <x:f>IF(C515&lt;0,NA(),(F515-B515)/1000000)</x:f>
        <x:v>0.09746</x:v>
      </x:c>
      <x:c r="L515" s="39" t="n">
        <x:f>IF(C515&lt;0,1,IF(OR(G515=0,H515=0,I515=0,F515-B515&gt;100000000),1,0))</x:f>
        <x:v>0</x:v>
      </x:c>
      <x:c r="M515" s="39" t="n">
        <x:f>IF(C515&lt;0,1,0)</x:f>
        <x:v>0</x:v>
      </x:c>
      <x:c r="N515" s="1"/>
      <x:c r="O515" s="1"/>
      <x:c r="P515" s="1"/>
      <x:c r="Q515" s="1"/>
      <x:c r="R515" s="1"/>
    </x:row>
    <x:row r="516" ht="22" customHeight="1">
      <x:c r="A516" s="39" t="n">
        <x:v>470</x:v>
      </x:c>
      <x:c r="B516" s="39" t="n">
        <x:v>47000000000</x:v>
      </x:c>
      <x:c r="C516" s="39" t="n">
        <x:v>47000055256</x:v>
      </x:c>
      <x:c r="D516" s="39" t="n">
        <x:v>47000068552</x:v>
      </x:c>
      <x:c r="E516" s="39" t="n">
        <x:v>47000083348</x:v>
      </x:c>
      <x:c r="F516" s="39" t="n">
        <x:v>47000093014</x:v>
      </x:c>
      <x:c r="G516" s="39" t="n">
        <x:v>1</x:v>
      </x:c>
      <x:c r="H516" s="39" t="n">
        <x:v>1</x:v>
      </x:c>
      <x:c r="I516" s="39" t="n">
        <x:v>1</x:v>
      </x:c>
      <x:c r="J516" s="40" t="n">
        <x:f>B516/1000000000</x:f>
        <x:v>47</x:v>
      </x:c>
      <x:c r="K516" s="41" t="n">
        <x:f>IF(C516&lt;0,NA(),(F516-B516)/1000000)</x:f>
        <x:v>0.093014</x:v>
      </x:c>
      <x:c r="L516" s="39" t="n">
        <x:f>IF(C516&lt;0,1,IF(OR(G516=0,H516=0,I516=0,F516-B516&gt;100000000),1,0))</x:f>
        <x:v>0</x:v>
      </x:c>
      <x:c r="M516" s="39" t="n">
        <x:f>IF(C516&lt;0,1,0)</x:f>
        <x:v>0</x:v>
      </x:c>
      <x:c r="N516" s="1"/>
      <x:c r="O516" s="1"/>
      <x:c r="P516" s="1"/>
      <x:c r="Q516" s="1"/>
      <x:c r="R516" s="1"/>
    </x:row>
    <x:row r="517" ht="22" customHeight="1">
      <x:c r="A517" s="39" t="n">
        <x:v>471</x:v>
      </x:c>
      <x:c r="B517" s="39" t="n">
        <x:v>47100000000</x:v>
      </x:c>
      <x:c r="C517" s="39" t="n">
        <x:v>47100053421</x:v>
      </x:c>
      <x:c r="D517" s="39" t="n">
        <x:v>47100063291</x:v>
      </x:c>
      <x:c r="E517" s="39" t="n">
        <x:v>47100075013</x:v>
      </x:c>
      <x:c r="F517" s="39" t="n">
        <x:v>47100084568</x:v>
      </x:c>
      <x:c r="G517" s="39" t="n">
        <x:v>1</x:v>
      </x:c>
      <x:c r="H517" s="39" t="n">
        <x:v>1</x:v>
      </x:c>
      <x:c r="I517" s="39" t="n">
        <x:v>1</x:v>
      </x:c>
      <x:c r="J517" s="40" t="n">
        <x:f>B517/1000000000</x:f>
        <x:v>47.1</x:v>
      </x:c>
      <x:c r="K517" s="41" t="n">
        <x:f>IF(C517&lt;0,NA(),(F517-B517)/1000000)</x:f>
        <x:v>0.084568</x:v>
      </x:c>
      <x:c r="L517" s="39" t="n">
        <x:f>IF(C517&lt;0,1,IF(OR(G517=0,H517=0,I517=0,F517-B517&gt;100000000),1,0))</x:f>
        <x:v>0</x:v>
      </x:c>
      <x:c r="M517" s="39" t="n">
        <x:f>IF(C517&lt;0,1,0)</x:f>
        <x:v>0</x:v>
      </x:c>
      <x:c r="N517" s="1"/>
      <x:c r="O517" s="1"/>
      <x:c r="P517" s="1"/>
      <x:c r="Q517" s="1"/>
      <x:c r="R517" s="1"/>
    </x:row>
    <x:row r="518" ht="22" customHeight="1">
      <x:c r="A518" s="39" t="n">
        <x:v>472</x:v>
      </x:c>
      <x:c r="B518" s="39" t="n">
        <x:v>47200000000</x:v>
      </x:c>
      <x:c r="C518" s="39" t="n">
        <x:v>47200054549</x:v>
      </x:c>
      <x:c r="D518" s="39" t="n">
        <x:v>47200067974</x:v>
      </x:c>
      <x:c r="E518" s="39" t="n">
        <x:v>47200081826</x:v>
      </x:c>
      <x:c r="F518" s="39" t="n">
        <x:v>47200091381</x:v>
      </x:c>
      <x:c r="G518" s="39" t="n">
        <x:v>1</x:v>
      </x:c>
      <x:c r="H518" s="39" t="n">
        <x:v>1</x:v>
      </x:c>
      <x:c r="I518" s="39" t="n">
        <x:v>1</x:v>
      </x:c>
      <x:c r="J518" s="40" t="n">
        <x:f>B518/1000000000</x:f>
        <x:v>47.2</x:v>
      </x:c>
      <x:c r="K518" s="41" t="n">
        <x:f>IF(C518&lt;0,NA(),(F518-B518)/1000000)</x:f>
        <x:v>0.091381</x:v>
      </x:c>
      <x:c r="L518" s="39" t="n">
        <x:f>IF(C518&lt;0,1,IF(OR(G518=0,H518=0,I518=0,F518-B518&gt;100000000),1,0))</x:f>
        <x:v>0</x:v>
      </x:c>
      <x:c r="M518" s="39" t="n">
        <x:f>IF(C518&lt;0,1,0)</x:f>
        <x:v>0</x:v>
      </x:c>
      <x:c r="N518" s="1"/>
      <x:c r="O518" s="1"/>
      <x:c r="P518" s="1"/>
      <x:c r="Q518" s="1"/>
      <x:c r="R518" s="1"/>
    </x:row>
    <x:row r="519" ht="22" customHeight="1">
      <x:c r="A519" s="39" t="n">
        <x:v>473</x:v>
      </x:c>
      <x:c r="B519" s="39" t="n">
        <x:v>47300000000</x:v>
      </x:c>
      <x:c r="C519" s="39" t="n">
        <x:v>47300053547</x:v>
      </x:c>
      <x:c r="D519" s="39" t="n">
        <x:v>47300066306</x:v>
      </x:c>
      <x:c r="E519" s="39" t="n">
        <x:v>47300079917</x:v>
      </x:c>
      <x:c r="F519" s="39" t="n">
        <x:v>47300089528</x:v>
      </x:c>
      <x:c r="G519" s="39" t="n">
        <x:v>1</x:v>
      </x:c>
      <x:c r="H519" s="39" t="n">
        <x:v>1</x:v>
      </x:c>
      <x:c r="I519" s="39" t="n">
        <x:v>1</x:v>
      </x:c>
      <x:c r="J519" s="40" t="n">
        <x:f>B519/1000000000</x:f>
        <x:v>47.3</x:v>
      </x:c>
      <x:c r="K519" s="41" t="n">
        <x:f>IF(C519&lt;0,NA(),(F519-B519)/1000000)</x:f>
        <x:v>0.089528</x:v>
      </x:c>
      <x:c r="L519" s="39" t="n">
        <x:f>IF(C519&lt;0,1,IF(OR(G519=0,H519=0,I519=0,F519-B519&gt;100000000),1,0))</x:f>
        <x:v>0</x:v>
      </x:c>
      <x:c r="M519" s="39" t="n">
        <x:f>IF(C519&lt;0,1,0)</x:f>
        <x:v>0</x:v>
      </x:c>
      <x:c r="N519" s="1"/>
      <x:c r="O519" s="1"/>
      <x:c r="P519" s="1"/>
      <x:c r="Q519" s="1"/>
      <x:c r="R519" s="1"/>
    </x:row>
    <x:row r="520" ht="22" customHeight="1">
      <x:c r="A520" s="39" t="n">
        <x:v>474</x:v>
      </x:c>
      <x:c r="B520" s="39" t="n">
        <x:v>47400000000</x:v>
      </x:c>
      <x:c r="C520" s="39" t="n">
        <x:v>47400057582</x:v>
      </x:c>
      <x:c r="D520" s="39" t="n">
        <x:v>47400087730</x:v>
      </x:c>
      <x:c r="E520" s="39" t="n">
        <x:v>47400111155</x:v>
      </x:c>
      <x:c r="F520" s="39" t="n">
        <x:v>47400121174</x:v>
      </x:c>
      <x:c r="G520" s="39" t="n">
        <x:v>1</x:v>
      </x:c>
      <x:c r="H520" s="39" t="n">
        <x:v>1</x:v>
      </x:c>
      <x:c r="I520" s="39" t="n">
        <x:v>1</x:v>
      </x:c>
      <x:c r="J520" s="40" t="n">
        <x:f>B520/1000000000</x:f>
        <x:v>47.4</x:v>
      </x:c>
      <x:c r="K520" s="41" t="n">
        <x:f>IF(C520&lt;0,NA(),(F520-B520)/1000000)</x:f>
        <x:v>0.121174</x:v>
      </x:c>
      <x:c r="L520" s="39" t="n">
        <x:f>IF(C520&lt;0,1,IF(OR(G520=0,H520=0,I520=0,F520-B520&gt;100000000),1,0))</x:f>
        <x:v>0</x:v>
      </x:c>
      <x:c r="M520" s="39" t="n">
        <x:f>IF(C520&lt;0,1,0)</x:f>
        <x:v>0</x:v>
      </x:c>
      <x:c r="N520" s="1"/>
      <x:c r="O520" s="1"/>
      <x:c r="P520" s="1"/>
      <x:c r="Q520" s="1"/>
      <x:c r="R520" s="1"/>
    </x:row>
    <x:row r="521" ht="22" customHeight="1">
      <x:c r="A521" s="39" t="n">
        <x:v>475</x:v>
      </x:c>
      <x:c r="B521" s="39" t="n">
        <x:v>47500000000</x:v>
      </x:c>
      <x:c r="C521" s="39" t="n">
        <x:v>47500054858</x:v>
      </x:c>
      <x:c r="D521" s="39" t="n">
        <x:v>47500070673</x:v>
      </x:c>
      <x:c r="E521" s="39" t="n">
        <x:v>47500085969</x:v>
      </x:c>
      <x:c r="F521" s="39" t="n">
        <x:v>47500095710</x:v>
      </x:c>
      <x:c r="G521" s="39" t="n">
        <x:v>1</x:v>
      </x:c>
      <x:c r="H521" s="39" t="n">
        <x:v>1</x:v>
      </x:c>
      <x:c r="I521" s="39" t="n">
        <x:v>1</x:v>
      </x:c>
      <x:c r="J521" s="40" t="n">
        <x:f>B521/1000000000</x:f>
        <x:v>47.5</x:v>
      </x:c>
      <x:c r="K521" s="41" t="n">
        <x:f>IF(C521&lt;0,NA(),(F521-B521)/1000000)</x:f>
        <x:v>0.09571</x:v>
      </x:c>
      <x:c r="L521" s="39" t="n">
        <x:f>IF(C521&lt;0,1,IF(OR(G521=0,H521=0,I521=0,F521-B521&gt;100000000),1,0))</x:f>
        <x:v>0</x:v>
      </x:c>
      <x:c r="M521" s="39" t="n">
        <x:f>IF(C521&lt;0,1,0)</x:f>
        <x:v>0</x:v>
      </x:c>
      <x:c r="N521" s="1"/>
      <x:c r="O521" s="1"/>
      <x:c r="P521" s="1"/>
      <x:c r="Q521" s="1"/>
      <x:c r="R521" s="1"/>
    </x:row>
    <x:row r="522" ht="22" customHeight="1">
      <x:c r="A522" s="39" t="n">
        <x:v>476</x:v>
      </x:c>
      <x:c r="B522" s="39" t="n">
        <x:v>47600000000</x:v>
      </x:c>
      <x:c r="C522" s="39" t="n">
        <x:v>47600055079</x:v>
      </x:c>
      <x:c r="D522" s="39" t="n">
        <x:v>47600068671</x:v>
      </x:c>
      <x:c r="E522" s="39" t="n">
        <x:v>47600082042</x:v>
      </x:c>
      <x:c r="F522" s="39" t="n">
        <x:v>47600091967</x:v>
      </x:c>
      <x:c r="G522" s="39" t="n">
        <x:v>1</x:v>
      </x:c>
      <x:c r="H522" s="39" t="n">
        <x:v>1</x:v>
      </x:c>
      <x:c r="I522" s="39" t="n">
        <x:v>1</x:v>
      </x:c>
      <x:c r="J522" s="40" t="n">
        <x:f>B522/1000000000</x:f>
        <x:v>47.6</x:v>
      </x:c>
      <x:c r="K522" s="41" t="n">
        <x:f>IF(C522&lt;0,NA(),(F522-B522)/1000000)</x:f>
        <x:v>0.091967</x:v>
      </x:c>
      <x:c r="L522" s="39" t="n">
        <x:f>IF(C522&lt;0,1,IF(OR(G522=0,H522=0,I522=0,F522-B522&gt;100000000),1,0))</x:f>
        <x:v>0</x:v>
      </x:c>
      <x:c r="M522" s="39" t="n">
        <x:f>IF(C522&lt;0,1,0)</x:f>
        <x:v>0</x:v>
      </x:c>
      <x:c r="N522" s="1"/>
      <x:c r="O522" s="1"/>
      <x:c r="P522" s="1"/>
      <x:c r="Q522" s="1"/>
      <x:c r="R522" s="1"/>
    </x:row>
    <x:row r="523" ht="22" customHeight="1">
      <x:c r="A523" s="39" t="n">
        <x:v>477</x:v>
      </x:c>
      <x:c r="B523" s="39" t="n">
        <x:v>47700000000</x:v>
      </x:c>
      <x:c r="C523" s="39" t="n">
        <x:v>47700053318</x:v>
      </x:c>
      <x:c r="D523" s="39" t="n">
        <x:v>47700064596</x:v>
      </x:c>
      <x:c r="E523" s="39" t="n">
        <x:v>47700076558</x:v>
      </x:c>
      <x:c r="F523" s="39" t="n">
        <x:v>47700086077</x:v>
      </x:c>
      <x:c r="G523" s="39" t="n">
        <x:v>1</x:v>
      </x:c>
      <x:c r="H523" s="39" t="n">
        <x:v>1</x:v>
      </x:c>
      <x:c r="I523" s="39" t="n">
        <x:v>1</x:v>
      </x:c>
      <x:c r="J523" s="40" t="n">
        <x:f>B523/1000000000</x:f>
        <x:v>47.7</x:v>
      </x:c>
      <x:c r="K523" s="41" t="n">
        <x:f>IF(C523&lt;0,NA(),(F523-B523)/1000000)</x:f>
        <x:v>0.086077</x:v>
      </x:c>
      <x:c r="L523" s="39" t="n">
        <x:f>IF(C523&lt;0,1,IF(OR(G523=0,H523=0,I523=0,F523-B523&gt;100000000),1,0))</x:f>
        <x:v>0</x:v>
      </x:c>
      <x:c r="M523" s="39" t="n">
        <x:f>IF(C523&lt;0,1,0)</x:f>
        <x:v>0</x:v>
      </x:c>
      <x:c r="N523" s="1"/>
      <x:c r="O523" s="1"/>
      <x:c r="P523" s="1"/>
      <x:c r="Q523" s="1"/>
      <x:c r="R523" s="1"/>
    </x:row>
    <x:row r="524" ht="22" customHeight="1">
      <x:c r="A524" s="39" t="n">
        <x:v>478</x:v>
      </x:c>
      <x:c r="B524" s="39" t="n">
        <x:v>47800000000</x:v>
      </x:c>
      <x:c r="C524" s="39" t="n">
        <x:v>47800053354</x:v>
      </x:c>
      <x:c r="D524" s="39" t="n">
        <x:v>47800065001</x:v>
      </x:c>
      <x:c r="E524" s="39" t="n">
        <x:v>47800077520</x:v>
      </x:c>
      <x:c r="F524" s="39" t="n">
        <x:v>47800087020</x:v>
      </x:c>
      <x:c r="G524" s="39" t="n">
        <x:v>1</x:v>
      </x:c>
      <x:c r="H524" s="39" t="n">
        <x:v>1</x:v>
      </x:c>
      <x:c r="I524" s="39" t="n">
        <x:v>1</x:v>
      </x:c>
      <x:c r="J524" s="40" t="n">
        <x:f>B524/1000000000</x:f>
        <x:v>47.8</x:v>
      </x:c>
      <x:c r="K524" s="41" t="n">
        <x:f>IF(C524&lt;0,NA(),(F524-B524)/1000000)</x:f>
        <x:v>0.08702</x:v>
      </x:c>
      <x:c r="L524" s="39" t="n">
        <x:f>IF(C524&lt;0,1,IF(OR(G524=0,H524=0,I524=0,F524-B524&gt;100000000),1,0))</x:f>
        <x:v>0</x:v>
      </x:c>
      <x:c r="M524" s="39" t="n">
        <x:f>IF(C524&lt;0,1,0)</x:f>
        <x:v>0</x:v>
      </x:c>
      <x:c r="N524" s="1"/>
      <x:c r="O524" s="1"/>
      <x:c r="P524" s="1"/>
      <x:c r="Q524" s="1"/>
      <x:c r="R524" s="1"/>
    </x:row>
    <x:row r="525" ht="22" customHeight="1">
      <x:c r="A525" s="39" t="n">
        <x:v>479</x:v>
      </x:c>
      <x:c r="B525" s="39" t="n">
        <x:v>47900000000</x:v>
      </x:c>
      <x:c r="C525" s="39" t="n">
        <x:v>47900053734</x:v>
      </x:c>
      <x:c r="D525" s="39" t="n">
        <x:v>47900067567</x:v>
      </x:c>
      <x:c r="E525" s="39" t="n">
        <x:v>47900083622</x:v>
      </x:c>
      <x:c r="F525" s="39" t="n">
        <x:v>47900093178</x:v>
      </x:c>
      <x:c r="G525" s="39" t="n">
        <x:v>1</x:v>
      </x:c>
      <x:c r="H525" s="39" t="n">
        <x:v>1</x:v>
      </x:c>
      <x:c r="I525" s="39" t="n">
        <x:v>1</x:v>
      </x:c>
      <x:c r="J525" s="40" t="n">
        <x:f>B525/1000000000</x:f>
        <x:v>47.9</x:v>
      </x:c>
      <x:c r="K525" s="41" t="n">
        <x:f>IF(C525&lt;0,NA(),(F525-B525)/1000000)</x:f>
        <x:v>0.093178</x:v>
      </x:c>
      <x:c r="L525" s="39" t="n">
        <x:f>IF(C525&lt;0,1,IF(OR(G525=0,H525=0,I525=0,F525-B525&gt;100000000),1,0))</x:f>
        <x:v>0</x:v>
      </x:c>
      <x:c r="M525" s="39" t="n">
        <x:f>IF(C525&lt;0,1,0)</x:f>
        <x:v>0</x:v>
      </x:c>
      <x:c r="N525" s="1"/>
      <x:c r="O525" s="1"/>
      <x:c r="P525" s="1"/>
      <x:c r="Q525" s="1"/>
      <x:c r="R525" s="1"/>
    </x:row>
    <x:row r="526" ht="22" customHeight="1">
      <x:c r="A526" s="39" t="n">
        <x:v>480</x:v>
      </x:c>
      <x:c r="B526" s="39" t="n">
        <x:v>48000000000</x:v>
      </x:c>
      <x:c r="C526" s="39" t="n">
        <x:v>48000057472</x:v>
      </x:c>
      <x:c r="D526" s="39" t="n">
        <x:v>48000084175</x:v>
      </x:c>
      <x:c r="E526" s="39" t="n">
        <x:v>48000106897</x:v>
      </x:c>
      <x:c r="F526" s="39" t="n">
        <x:v>48000116823</x:v>
      </x:c>
      <x:c r="G526" s="39" t="n">
        <x:v>1</x:v>
      </x:c>
      <x:c r="H526" s="39" t="n">
        <x:v>1</x:v>
      </x:c>
      <x:c r="I526" s="39" t="n">
        <x:v>1</x:v>
      </x:c>
      <x:c r="J526" s="40" t="n">
        <x:f>B526/1000000000</x:f>
        <x:v>48</x:v>
      </x:c>
      <x:c r="K526" s="41" t="n">
        <x:f>IF(C526&lt;0,NA(),(F526-B526)/1000000)</x:f>
        <x:v>0.116823</x:v>
      </x:c>
      <x:c r="L526" s="39" t="n">
        <x:f>IF(C526&lt;0,1,IF(OR(G526=0,H526=0,I526=0,F526-B526&gt;100000000),1,0))</x:f>
        <x:v>0</x:v>
      </x:c>
      <x:c r="M526" s="39" t="n">
        <x:f>IF(C526&lt;0,1,0)</x:f>
        <x:v>0</x:v>
      </x:c>
      <x:c r="N526" s="1"/>
      <x:c r="O526" s="1"/>
      <x:c r="P526" s="1"/>
      <x:c r="Q526" s="1"/>
      <x:c r="R526" s="1"/>
    </x:row>
    <x:row r="527" ht="22" customHeight="1">
      <x:c r="A527" s="39" t="n">
        <x:v>481</x:v>
      </x:c>
      <x:c r="B527" s="39" t="n">
        <x:v>48100000000</x:v>
      </x:c>
      <x:c r="C527" s="39" t="n">
        <x:v>48100054062</x:v>
      </x:c>
      <x:c r="D527" s="39" t="n">
        <x:v>48100066913</x:v>
      </x:c>
      <x:c r="E527" s="39" t="n">
        <x:v>48100079561</x:v>
      </x:c>
      <x:c r="F527" s="39" t="n">
        <x:v>48100089172</x:v>
      </x:c>
      <x:c r="G527" s="39" t="n">
        <x:v>1</x:v>
      </x:c>
      <x:c r="H527" s="39" t="n">
        <x:v>1</x:v>
      </x:c>
      <x:c r="I527" s="39" t="n">
        <x:v>1</x:v>
      </x:c>
      <x:c r="J527" s="40" t="n">
        <x:f>B527/1000000000</x:f>
        <x:v>48.1</x:v>
      </x:c>
      <x:c r="K527" s="41" t="n">
        <x:f>IF(C527&lt;0,NA(),(F527-B527)/1000000)</x:f>
        <x:v>0.089172</x:v>
      </x:c>
      <x:c r="L527" s="39" t="n">
        <x:f>IF(C527&lt;0,1,IF(OR(G527=0,H527=0,I527=0,F527-B527&gt;100000000),1,0))</x:f>
        <x:v>0</x:v>
      </x:c>
      <x:c r="M527" s="39" t="n">
        <x:f>IF(C527&lt;0,1,0)</x:f>
        <x:v>0</x:v>
      </x:c>
      <x:c r="N527" s="1"/>
      <x:c r="O527" s="1"/>
      <x:c r="P527" s="1"/>
      <x:c r="Q527" s="1"/>
      <x:c r="R527" s="1"/>
    </x:row>
    <x:row r="528" ht="22" customHeight="1">
      <x:c r="A528" s="39" t="n">
        <x:v>482</x:v>
      </x:c>
      <x:c r="B528" s="39" t="n">
        <x:v>48200000000</x:v>
      </x:c>
      <x:c r="C528" s="39" t="n">
        <x:v>48200055300</x:v>
      </x:c>
      <x:c r="D528" s="39" t="n">
        <x:v>48200070299</x:v>
      </x:c>
      <x:c r="E528" s="39" t="n">
        <x:v>48200086040</x:v>
      </x:c>
      <x:c r="F528" s="39" t="n">
        <x:v>48200095595</x:v>
      </x:c>
      <x:c r="G528" s="39" t="n">
        <x:v>1</x:v>
      </x:c>
      <x:c r="H528" s="39" t="n">
        <x:v>1</x:v>
      </x:c>
      <x:c r="I528" s="39" t="n">
        <x:v>1</x:v>
      </x:c>
      <x:c r="J528" s="40" t="n">
        <x:f>B528/1000000000</x:f>
        <x:v>48.2</x:v>
      </x:c>
      <x:c r="K528" s="41" t="n">
        <x:f>IF(C528&lt;0,NA(),(F528-B528)/1000000)</x:f>
        <x:v>0.095595</x:v>
      </x:c>
      <x:c r="L528" s="39" t="n">
        <x:f>IF(C528&lt;0,1,IF(OR(G528=0,H528=0,I528=0,F528-B528&gt;100000000),1,0))</x:f>
        <x:v>0</x:v>
      </x:c>
      <x:c r="M528" s="39" t="n">
        <x:f>IF(C528&lt;0,1,0)</x:f>
        <x:v>0</x:v>
      </x:c>
      <x:c r="N528" s="1"/>
      <x:c r="O528" s="1"/>
      <x:c r="P528" s="1"/>
      <x:c r="Q528" s="1"/>
      <x:c r="R528" s="1"/>
    </x:row>
    <x:row r="529" ht="22" customHeight="1">
      <x:c r="A529" s="39" t="n">
        <x:v>483</x:v>
      </x:c>
      <x:c r="B529" s="39" t="n">
        <x:v>48300000000</x:v>
      </x:c>
      <x:c r="C529" s="39" t="n">
        <x:v>48300054537</x:v>
      </x:c>
      <x:c r="D529" s="39" t="n">
        <x:v>48300066667</x:v>
      </x:c>
      <x:c r="E529" s="39" t="n">
        <x:v>48300079278</x:v>
      </x:c>
      <x:c r="F529" s="39" t="n">
        <x:v>48300088759</x:v>
      </x:c>
      <x:c r="G529" s="39" t="n">
        <x:v>1</x:v>
      </x:c>
      <x:c r="H529" s="39" t="n">
        <x:v>1</x:v>
      </x:c>
      <x:c r="I529" s="39" t="n">
        <x:v>1</x:v>
      </x:c>
      <x:c r="J529" s="40" t="n">
        <x:f>B529/1000000000</x:f>
        <x:v>48.3</x:v>
      </x:c>
      <x:c r="K529" s="41" t="n">
        <x:f>IF(C529&lt;0,NA(),(F529-B529)/1000000)</x:f>
        <x:v>0.088759</x:v>
      </x:c>
      <x:c r="L529" s="39" t="n">
        <x:f>IF(C529&lt;0,1,IF(OR(G529=0,H529=0,I529=0,F529-B529&gt;100000000),1,0))</x:f>
        <x:v>0</x:v>
      </x:c>
      <x:c r="M529" s="39" t="n">
        <x:f>IF(C529&lt;0,1,0)</x:f>
        <x:v>0</x:v>
      </x:c>
      <x:c r="N529" s="1"/>
      <x:c r="O529" s="1"/>
      <x:c r="P529" s="1"/>
      <x:c r="Q529" s="1"/>
      <x:c r="R529" s="1"/>
    </x:row>
    <x:row r="530" ht="22" customHeight="1">
      <x:c r="A530" s="39" t="n">
        <x:v>484</x:v>
      </x:c>
      <x:c r="B530" s="39" t="n">
        <x:v>48400000000</x:v>
      </x:c>
      <x:c r="C530" s="39" t="n">
        <x:v>48400053831</x:v>
      </x:c>
      <x:c r="D530" s="39" t="n">
        <x:v>48400065220</x:v>
      </x:c>
      <x:c r="E530" s="39" t="n">
        <x:v>48400076719</x:v>
      </x:c>
      <x:c r="F530" s="39" t="n">
        <x:v>48400086275</x:v>
      </x:c>
      <x:c r="G530" s="39" t="n">
        <x:v>1</x:v>
      </x:c>
      <x:c r="H530" s="39" t="n">
        <x:v>1</x:v>
      </x:c>
      <x:c r="I530" s="39" t="n">
        <x:v>1</x:v>
      </x:c>
      <x:c r="J530" s="40" t="n">
        <x:f>B530/1000000000</x:f>
        <x:v>48.4</x:v>
      </x:c>
      <x:c r="K530" s="41" t="n">
        <x:f>IF(C530&lt;0,NA(),(F530-B530)/1000000)</x:f>
        <x:v>0.086275</x:v>
      </x:c>
      <x:c r="L530" s="39" t="n">
        <x:f>IF(C530&lt;0,1,IF(OR(G530=0,H530=0,I530=0,F530-B530&gt;100000000),1,0))</x:f>
        <x:v>0</x:v>
      </x:c>
      <x:c r="M530" s="39" t="n">
        <x:f>IF(C530&lt;0,1,0)</x:f>
        <x:v>0</x:v>
      </x:c>
      <x:c r="N530" s="1"/>
      <x:c r="O530" s="1"/>
      <x:c r="P530" s="1"/>
      <x:c r="Q530" s="1"/>
      <x:c r="R530" s="1"/>
    </x:row>
    <x:row r="531" ht="22" customHeight="1">
      <x:c r="A531" s="39" t="n">
        <x:v>485</x:v>
      </x:c>
      <x:c r="B531" s="39" t="n">
        <x:v>48500000000</x:v>
      </x:c>
      <x:c r="C531" s="39" t="n">
        <x:v>48500055124</x:v>
      </x:c>
      <x:c r="D531" s="39" t="n">
        <x:v>48500066902</x:v>
      </x:c>
      <x:c r="E531" s="39" t="n">
        <x:v>48500080050</x:v>
      </x:c>
      <x:c r="F531" s="39" t="n">
        <x:v>48500089624</x:v>
      </x:c>
      <x:c r="G531" s="39" t="n">
        <x:v>1</x:v>
      </x:c>
      <x:c r="H531" s="39" t="n">
        <x:v>1</x:v>
      </x:c>
      <x:c r="I531" s="39" t="n">
        <x:v>1</x:v>
      </x:c>
      <x:c r="J531" s="40" t="n">
        <x:f>B531/1000000000</x:f>
        <x:v>48.5</x:v>
      </x:c>
      <x:c r="K531" s="41" t="n">
        <x:f>IF(C531&lt;0,NA(),(F531-B531)/1000000)</x:f>
        <x:v>0.089624</x:v>
      </x:c>
      <x:c r="L531" s="39" t="n">
        <x:f>IF(C531&lt;0,1,IF(OR(G531=0,H531=0,I531=0,F531-B531&gt;100000000),1,0))</x:f>
        <x:v>0</x:v>
      </x:c>
      <x:c r="M531" s="39" t="n">
        <x:f>IF(C531&lt;0,1,0)</x:f>
        <x:v>0</x:v>
      </x:c>
      <x:c r="N531" s="1"/>
      <x:c r="O531" s="1"/>
      <x:c r="P531" s="1"/>
      <x:c r="Q531" s="1"/>
      <x:c r="R531" s="1"/>
    </x:row>
    <x:row r="532" ht="22" customHeight="1">
      <x:c r="A532" s="39" t="n">
        <x:v>486</x:v>
      </x:c>
      <x:c r="B532" s="39" t="n">
        <x:v>48600000000</x:v>
      </x:c>
      <x:c r="C532" s="39" t="n">
        <x:v>48600060195</x:v>
      </x:c>
      <x:c r="D532" s="39" t="n">
        <x:v>48600110306</x:v>
      </x:c>
      <x:c r="E532" s="39" t="n">
        <x:v>48600147768</x:v>
      </x:c>
      <x:c r="F532" s="39" t="n">
        <x:v>48600158249</x:v>
      </x:c>
      <x:c r="G532" s="39" t="n">
        <x:v>1</x:v>
      </x:c>
      <x:c r="H532" s="39" t="n">
        <x:v>1</x:v>
      </x:c>
      <x:c r="I532" s="39" t="n">
        <x:v>1</x:v>
      </x:c>
      <x:c r="J532" s="40" t="n">
        <x:f>B532/1000000000</x:f>
        <x:v>48.6</x:v>
      </x:c>
      <x:c r="K532" s="41" t="n">
        <x:f>IF(C532&lt;0,NA(),(F532-B532)/1000000)</x:f>
        <x:v>0.158249</x:v>
      </x:c>
      <x:c r="L532" s="39" t="n">
        <x:f>IF(C532&lt;0,1,IF(OR(G532=0,H532=0,I532=0,F532-B532&gt;100000000),1,0))</x:f>
        <x:v>0</x:v>
      </x:c>
      <x:c r="M532" s="39" t="n">
        <x:f>IF(C532&lt;0,1,0)</x:f>
        <x:v>0</x:v>
      </x:c>
      <x:c r="N532" s="1"/>
      <x:c r="O532" s="1"/>
      <x:c r="P532" s="1"/>
      <x:c r="Q532" s="1"/>
      <x:c r="R532" s="1"/>
    </x:row>
    <x:row r="533" ht="22" customHeight="1">
      <x:c r="A533" s="39" t="n">
        <x:v>487</x:v>
      </x:c>
      <x:c r="B533" s="39" t="n">
        <x:v>48700000000</x:v>
      </x:c>
      <x:c r="C533" s="39" t="n">
        <x:v>48700054230</x:v>
      </x:c>
      <x:c r="D533" s="39" t="n">
        <x:v>48700069026</x:v>
      </x:c>
      <x:c r="E533" s="39" t="n">
        <x:v>48700082285</x:v>
      </x:c>
      <x:c r="F533" s="39" t="n">
        <x:v>48700091766</x:v>
      </x:c>
      <x:c r="G533" s="39" t="n">
        <x:v>1</x:v>
      </x:c>
      <x:c r="H533" s="39" t="n">
        <x:v>1</x:v>
      </x:c>
      <x:c r="I533" s="39" t="n">
        <x:v>1</x:v>
      </x:c>
      <x:c r="J533" s="40" t="n">
        <x:f>B533/1000000000</x:f>
        <x:v>48.7</x:v>
      </x:c>
      <x:c r="K533" s="41" t="n">
        <x:f>IF(C533&lt;0,NA(),(F533-B533)/1000000)</x:f>
        <x:v>0.091766</x:v>
      </x:c>
      <x:c r="L533" s="39" t="n">
        <x:f>IF(C533&lt;0,1,IF(OR(G533=0,H533=0,I533=0,F533-B533&gt;100000000),1,0))</x:f>
        <x:v>0</x:v>
      </x:c>
      <x:c r="M533" s="39" t="n">
        <x:f>IF(C533&lt;0,1,0)</x:f>
        <x:v>0</x:v>
      </x:c>
      <x:c r="N533" s="1"/>
      <x:c r="O533" s="1"/>
      <x:c r="P533" s="1"/>
      <x:c r="Q533" s="1"/>
      <x:c r="R533" s="1"/>
    </x:row>
    <x:row r="534" ht="22" customHeight="1">
      <x:c r="A534" s="39" t="n">
        <x:v>488</x:v>
      </x:c>
      <x:c r="B534" s="39" t="n">
        <x:v>48800000000</x:v>
      </x:c>
      <x:c r="C534" s="39" t="n">
        <x:v>48800053468</x:v>
      </x:c>
      <x:c r="D534" s="39" t="n">
        <x:v>48800065430</x:v>
      </x:c>
      <x:c r="E534" s="39" t="n">
        <x:v>48800079282</x:v>
      </x:c>
      <x:c r="F534" s="39" t="n">
        <x:v>48800088800</x:v>
      </x:c>
      <x:c r="G534" s="39" t="n">
        <x:v>1</x:v>
      </x:c>
      <x:c r="H534" s="39" t="n">
        <x:v>1</x:v>
      </x:c>
      <x:c r="I534" s="39" t="n">
        <x:v>1</x:v>
      </x:c>
      <x:c r="J534" s="40" t="n">
        <x:f>B534/1000000000</x:f>
        <x:v>48.8</x:v>
      </x:c>
      <x:c r="K534" s="41" t="n">
        <x:f>IF(C534&lt;0,NA(),(F534-B534)/1000000)</x:f>
        <x:v>0.0888</x:v>
      </x:c>
      <x:c r="L534" s="39" t="n">
        <x:f>IF(C534&lt;0,1,IF(OR(G534=0,H534=0,I534=0,F534-B534&gt;100000000),1,0))</x:f>
        <x:v>0</x:v>
      </x:c>
      <x:c r="M534" s="39" t="n">
        <x:f>IF(C534&lt;0,1,0)</x:f>
        <x:v>0</x:v>
      </x:c>
      <x:c r="N534" s="1"/>
      <x:c r="O534" s="1"/>
      <x:c r="P534" s="1"/>
      <x:c r="Q534" s="1"/>
      <x:c r="R534" s="1"/>
    </x:row>
    <x:row r="535" ht="22" customHeight="1">
      <x:c r="A535" s="39" t="n">
        <x:v>489</x:v>
      </x:c>
      <x:c r="B535" s="39" t="n">
        <x:v>48900000000</x:v>
      </x:c>
      <x:c r="C535" s="39" t="n">
        <x:v>48900057162</x:v>
      </x:c>
      <x:c r="D535" s="39" t="n">
        <x:v>48900075143</x:v>
      </x:c>
      <x:c r="E535" s="39" t="n">
        <x:v>48900092162</x:v>
      </x:c>
      <x:c r="F535" s="39" t="n">
        <x:v>48900101921</x:v>
      </x:c>
      <x:c r="G535" s="39" t="n">
        <x:v>1</x:v>
      </x:c>
      <x:c r="H535" s="39" t="n">
        <x:v>1</x:v>
      </x:c>
      <x:c r="I535" s="39" t="n">
        <x:v>1</x:v>
      </x:c>
      <x:c r="J535" s="40" t="n">
        <x:f>B535/1000000000</x:f>
        <x:v>48.9</x:v>
      </x:c>
      <x:c r="K535" s="41" t="n">
        <x:f>IF(C535&lt;0,NA(),(F535-B535)/1000000)</x:f>
        <x:v>0.101921</x:v>
      </x:c>
      <x:c r="L535" s="39" t="n">
        <x:f>IF(C535&lt;0,1,IF(OR(G535=0,H535=0,I535=0,F535-B535&gt;100000000),1,0))</x:f>
        <x:v>0</x:v>
      </x:c>
      <x:c r="M535" s="39" t="n">
        <x:f>IF(C535&lt;0,1,0)</x:f>
        <x:v>0</x:v>
      </x:c>
      <x:c r="N535" s="1"/>
      <x:c r="O535" s="1"/>
      <x:c r="P535" s="1"/>
      <x:c r="Q535" s="1"/>
      <x:c r="R535" s="1"/>
    </x:row>
    <x:row r="536" ht="22" customHeight="1">
      <x:c r="A536" s="39" t="n">
        <x:v>490</x:v>
      </x:c>
      <x:c r="B536" s="39" t="n">
        <x:v>49000000000</x:v>
      </x:c>
      <x:c r="C536" s="39" t="n">
        <x:v>49000054082</x:v>
      </x:c>
      <x:c r="D536" s="39" t="n">
        <x:v>49000066619</x:v>
      </x:c>
      <x:c r="E536" s="39" t="n">
        <x:v>49000079878</x:v>
      </x:c>
      <x:c r="F536" s="39" t="n">
        <x:v>49000089433</x:v>
      </x:c>
      <x:c r="G536" s="39" t="n">
        <x:v>1</x:v>
      </x:c>
      <x:c r="H536" s="39" t="n">
        <x:v>1</x:v>
      </x:c>
      <x:c r="I536" s="39" t="n">
        <x:v>1</x:v>
      </x:c>
      <x:c r="J536" s="40" t="n">
        <x:f>B536/1000000000</x:f>
        <x:v>49</x:v>
      </x:c>
      <x:c r="K536" s="41" t="n">
        <x:f>IF(C536&lt;0,NA(),(F536-B536)/1000000)</x:f>
        <x:v>0.089433</x:v>
      </x:c>
      <x:c r="L536" s="39" t="n">
        <x:f>IF(C536&lt;0,1,IF(OR(G536=0,H536=0,I536=0,F536-B536&gt;100000000),1,0))</x:f>
        <x:v>0</x:v>
      </x:c>
      <x:c r="M536" s="39" t="n">
        <x:f>IF(C536&lt;0,1,0)</x:f>
        <x:v>0</x:v>
      </x:c>
      <x:c r="N536" s="1"/>
      <x:c r="O536" s="1"/>
      <x:c r="P536" s="1"/>
      <x:c r="Q536" s="1"/>
      <x:c r="R536" s="1"/>
    </x:row>
    <x:row r="537" ht="22" customHeight="1">
      <x:c r="A537" s="39" t="n">
        <x:v>491</x:v>
      </x:c>
      <x:c r="B537" s="39" t="n">
        <x:v>49100000000</x:v>
      </x:c>
      <x:c r="C537" s="39" t="n">
        <x:v>49100053909</x:v>
      </x:c>
      <x:c r="D537" s="39" t="n">
        <x:v>49100067557</x:v>
      </x:c>
      <x:c r="E537" s="39" t="n">
        <x:v>49100083149</x:v>
      </x:c>
      <x:c r="F537" s="39" t="n">
        <x:v>49100092760</x:v>
      </x:c>
      <x:c r="G537" s="39" t="n">
        <x:v>1</x:v>
      </x:c>
      <x:c r="H537" s="39" t="n">
        <x:v>1</x:v>
      </x:c>
      <x:c r="I537" s="39" t="n">
        <x:v>1</x:v>
      </x:c>
      <x:c r="J537" s="40" t="n">
        <x:f>B537/1000000000</x:f>
        <x:v>49.1</x:v>
      </x:c>
      <x:c r="K537" s="41" t="n">
        <x:f>IF(C537&lt;0,NA(),(F537-B537)/1000000)</x:f>
        <x:v>0.09276</x:v>
      </x:c>
      <x:c r="L537" s="39" t="n">
        <x:f>IF(C537&lt;0,1,IF(OR(G537=0,H537=0,I537=0,F537-B537&gt;100000000),1,0))</x:f>
        <x:v>0</x:v>
      </x:c>
      <x:c r="M537" s="39" t="n">
        <x:f>IF(C537&lt;0,1,0)</x:f>
        <x:v>0</x:v>
      </x:c>
      <x:c r="N537" s="1"/>
      <x:c r="O537" s="1"/>
      <x:c r="P537" s="1"/>
      <x:c r="Q537" s="1"/>
      <x:c r="R537" s="1"/>
    </x:row>
    <x:row r="538" ht="22" customHeight="1">
      <x:c r="A538" s="39" t="n">
        <x:v>492</x:v>
      </x:c>
      <x:c r="B538" s="39" t="n">
        <x:v>49200000000</x:v>
      </x:c>
      <x:c r="C538" s="39" t="n">
        <x:v>49200058514</x:v>
      </x:c>
      <x:c r="D538" s="39" t="n">
        <x:v>49200090680</x:v>
      </x:c>
      <x:c r="E538" s="39" t="n">
        <x:v>49200116624</x:v>
      </x:c>
      <x:c r="F538" s="39" t="n">
        <x:v>49200126438</x:v>
      </x:c>
      <x:c r="G538" s="39" t="n">
        <x:v>1</x:v>
      </x:c>
      <x:c r="H538" s="39" t="n">
        <x:v>1</x:v>
      </x:c>
      <x:c r="I538" s="39" t="n">
        <x:v>1</x:v>
      </x:c>
      <x:c r="J538" s="40" t="n">
        <x:f>B538/1000000000</x:f>
        <x:v>49.2</x:v>
      </x:c>
      <x:c r="K538" s="41" t="n">
        <x:f>IF(C538&lt;0,NA(),(F538-B538)/1000000)</x:f>
        <x:v>0.126438</x:v>
      </x:c>
      <x:c r="L538" s="39" t="n">
        <x:f>IF(C538&lt;0,1,IF(OR(G538=0,H538=0,I538=0,F538-B538&gt;100000000),1,0))</x:f>
        <x:v>0</x:v>
      </x:c>
      <x:c r="M538" s="39" t="n">
        <x:f>IF(C538&lt;0,1,0)</x:f>
        <x:v>0</x:v>
      </x:c>
      <x:c r="N538" s="1"/>
      <x:c r="O538" s="1"/>
      <x:c r="P538" s="1"/>
      <x:c r="Q538" s="1"/>
      <x:c r="R538" s="1"/>
    </x:row>
    <x:row r="539" ht="22" customHeight="1">
      <x:c r="A539" s="39" t="n">
        <x:v>493</x:v>
      </x:c>
      <x:c r="B539" s="39" t="n">
        <x:v>49300000000</x:v>
      </x:c>
      <x:c r="C539" s="39" t="n">
        <x:v>49300054304</x:v>
      </x:c>
      <x:c r="D539" s="39" t="n">
        <x:v>49300067989</x:v>
      </x:c>
      <x:c r="E539" s="39" t="n">
        <x:v>49300082155</x:v>
      </x:c>
      <x:c r="F539" s="39" t="n">
        <x:v>49300091951</x:v>
      </x:c>
      <x:c r="G539" s="39" t="n">
        <x:v>1</x:v>
      </x:c>
      <x:c r="H539" s="39" t="n">
        <x:v>1</x:v>
      </x:c>
      <x:c r="I539" s="39" t="n">
        <x:v>1</x:v>
      </x:c>
      <x:c r="J539" s="40" t="n">
        <x:f>B539/1000000000</x:f>
        <x:v>49.3</x:v>
      </x:c>
      <x:c r="K539" s="41" t="n">
        <x:f>IF(C539&lt;0,NA(),(F539-B539)/1000000)</x:f>
        <x:v>0.091951</x:v>
      </x:c>
      <x:c r="L539" s="39" t="n">
        <x:f>IF(C539&lt;0,1,IF(OR(G539=0,H539=0,I539=0,F539-B539&gt;100000000),1,0))</x:f>
        <x:v>0</x:v>
      </x:c>
      <x:c r="M539" s="39" t="n">
        <x:f>IF(C539&lt;0,1,0)</x:f>
        <x:v>0</x:v>
      </x:c>
      <x:c r="N539" s="1"/>
      <x:c r="O539" s="1"/>
      <x:c r="P539" s="1"/>
      <x:c r="Q539" s="1"/>
      <x:c r="R539" s="1"/>
    </x:row>
    <x:row r="540" ht="22" customHeight="1">
      <x:c r="A540" s="39" t="n">
        <x:v>494</x:v>
      </x:c>
      <x:c r="B540" s="39" t="n">
        <x:v>49400000000</x:v>
      </x:c>
      <x:c r="C540" s="39" t="n">
        <x:v>49400053816</x:v>
      </x:c>
      <x:c r="D540" s="39" t="n">
        <x:v>49400068334</x:v>
      </x:c>
      <x:c r="E540" s="39" t="n">
        <x:v>49400083501</x:v>
      </x:c>
      <x:c r="F540" s="39" t="n">
        <x:v>49400093130</x:v>
      </x:c>
      <x:c r="G540" s="39" t="n">
        <x:v>1</x:v>
      </x:c>
      <x:c r="H540" s="39" t="n">
        <x:v>1</x:v>
      </x:c>
      <x:c r="I540" s="39" t="n">
        <x:v>1</x:v>
      </x:c>
      <x:c r="J540" s="40" t="n">
        <x:f>B540/1000000000</x:f>
        <x:v>49.4</x:v>
      </x:c>
      <x:c r="K540" s="41" t="n">
        <x:f>IF(C540&lt;0,NA(),(F540-B540)/1000000)</x:f>
        <x:v>0.09313</x:v>
      </x:c>
      <x:c r="L540" s="39" t="n">
        <x:f>IF(C540&lt;0,1,IF(OR(G540=0,H540=0,I540=0,F540-B540&gt;100000000),1,0))</x:f>
        <x:v>0</x:v>
      </x:c>
      <x:c r="M540" s="39" t="n">
        <x:f>IF(C540&lt;0,1,0)</x:f>
        <x:v>0</x:v>
      </x:c>
      <x:c r="N540" s="1"/>
      <x:c r="O540" s="1"/>
      <x:c r="P540" s="1"/>
      <x:c r="Q540" s="1"/>
      <x:c r="R540" s="1"/>
    </x:row>
    <x:row r="541" ht="22" customHeight="1">
      <x:c r="A541" s="39" t="n">
        <x:v>495</x:v>
      </x:c>
      <x:c r="B541" s="39" t="n">
        <x:v>49500000000</x:v>
      </x:c>
      <x:c r="C541" s="39" t="n">
        <x:v>49500056236</x:v>
      </x:c>
      <x:c r="D541" s="39" t="n">
        <x:v>49500081013</x:v>
      </x:c>
      <x:c r="E541" s="39" t="n">
        <x:v>49500102216</x:v>
      </x:c>
      <x:c r="F541" s="39" t="n">
        <x:v>49500111938</x:v>
      </x:c>
      <x:c r="G541" s="39" t="n">
        <x:v>1</x:v>
      </x:c>
      <x:c r="H541" s="39" t="n">
        <x:v>1</x:v>
      </x:c>
      <x:c r="I541" s="39" t="n">
        <x:v>1</x:v>
      </x:c>
      <x:c r="J541" s="40" t="n">
        <x:f>B541/1000000000</x:f>
        <x:v>49.5</x:v>
      </x:c>
      <x:c r="K541" s="41" t="n">
        <x:f>IF(C541&lt;0,NA(),(F541-B541)/1000000)</x:f>
        <x:v>0.111938</x:v>
      </x:c>
      <x:c r="L541" s="39" t="n">
        <x:f>IF(C541&lt;0,1,IF(OR(G541=0,H541=0,I541=0,F541-B541&gt;100000000),1,0))</x:f>
        <x:v>0</x:v>
      </x:c>
      <x:c r="M541" s="39" t="n">
        <x:f>IF(C541&lt;0,1,0)</x:f>
        <x:v>0</x:v>
      </x:c>
      <x:c r="N541" s="1"/>
      <x:c r="O541" s="1"/>
      <x:c r="P541" s="1"/>
      <x:c r="Q541" s="1"/>
      <x:c r="R541" s="1"/>
    </x:row>
    <x:row r="542" ht="22" customHeight="1">
      <x:c r="A542" s="39" t="n">
        <x:v>496</x:v>
      </x:c>
      <x:c r="B542" s="39" t="n">
        <x:v>49600000000</x:v>
      </x:c>
      <x:c r="C542" s="39" t="n">
        <x:v>49600056692</x:v>
      </x:c>
      <x:c r="D542" s="39" t="n">
        <x:v>49600089303</x:v>
      </x:c>
      <x:c r="E542" s="39" t="n">
        <x:v>49600115062</x:v>
      </x:c>
      <x:c r="F542" s="39" t="n">
        <x:v>49600124913</x:v>
      </x:c>
      <x:c r="G542" s="39" t="n">
        <x:v>1</x:v>
      </x:c>
      <x:c r="H542" s="39" t="n">
        <x:v>1</x:v>
      </x:c>
      <x:c r="I542" s="39" t="n">
        <x:v>1</x:v>
      </x:c>
      <x:c r="J542" s="40" t="n">
        <x:f>B542/1000000000</x:f>
        <x:v>49.6</x:v>
      </x:c>
      <x:c r="K542" s="41" t="n">
        <x:f>IF(C542&lt;0,NA(),(F542-B542)/1000000)</x:f>
        <x:v>0.124913</x:v>
      </x:c>
      <x:c r="L542" s="39" t="n">
        <x:f>IF(C542&lt;0,1,IF(OR(G542=0,H542=0,I542=0,F542-B542&gt;100000000),1,0))</x:f>
        <x:v>0</x:v>
      </x:c>
      <x:c r="M542" s="39" t="n">
        <x:f>IF(C542&lt;0,1,0)</x:f>
        <x:v>0</x:v>
      </x:c>
      <x:c r="N542" s="1"/>
      <x:c r="O542" s="1"/>
      <x:c r="P542" s="1"/>
      <x:c r="Q542" s="1"/>
      <x:c r="R542" s="1"/>
    </x:row>
    <x:row r="543" ht="22" customHeight="1">
      <x:c r="A543" s="39" t="n">
        <x:v>497</x:v>
      </x:c>
      <x:c r="B543" s="39" t="n">
        <x:v>49700000000</x:v>
      </x:c>
      <x:c r="C543" s="39" t="n">
        <x:v>49700053816</x:v>
      </x:c>
      <x:c r="D543" s="39" t="n">
        <x:v>49700066723</x:v>
      </x:c>
      <x:c r="E543" s="39" t="n">
        <x:v>49700078500</x:v>
      </x:c>
      <x:c r="F543" s="39" t="n">
        <x:v>49700088260</x:v>
      </x:c>
      <x:c r="G543" s="39" t="n">
        <x:v>1</x:v>
      </x:c>
      <x:c r="H543" s="39" t="n">
        <x:v>1</x:v>
      </x:c>
      <x:c r="I543" s="39" t="n">
        <x:v>1</x:v>
      </x:c>
      <x:c r="J543" s="40" t="n">
        <x:f>B543/1000000000</x:f>
        <x:v>49.7</x:v>
      </x:c>
      <x:c r="K543" s="41" t="n">
        <x:f>IF(C543&lt;0,NA(),(F543-B543)/1000000)</x:f>
        <x:v>0.08826</x:v>
      </x:c>
      <x:c r="L543" s="39" t="n">
        <x:f>IF(C543&lt;0,1,IF(OR(G543=0,H543=0,I543=0,F543-B543&gt;100000000),1,0))</x:f>
        <x:v>0</x:v>
      </x:c>
      <x:c r="M543" s="39" t="n">
        <x:f>IF(C543&lt;0,1,0)</x:f>
        <x:v>0</x:v>
      </x:c>
      <x:c r="N543" s="1"/>
      <x:c r="O543" s="1"/>
      <x:c r="P543" s="1"/>
      <x:c r="Q543" s="1"/>
      <x:c r="R543" s="1"/>
    </x:row>
    <x:row r="544" ht="22" customHeight="1">
      <x:c r="A544" s="39" t="n">
        <x:v>498</x:v>
      </x:c>
      <x:c r="B544" s="39" t="n">
        <x:v>49800000000</x:v>
      </x:c>
      <x:c r="C544" s="39" t="n">
        <x:v>49800058883</x:v>
      </x:c>
      <x:c r="D544" s="39" t="n">
        <x:v>49800090013</x:v>
      </x:c>
      <x:c r="E544" s="39" t="n">
        <x:v>49800115975</x:v>
      </x:c>
      <x:c r="F544" s="39" t="n">
        <x:v>49800125975</x:v>
      </x:c>
      <x:c r="G544" s="39" t="n">
        <x:v>1</x:v>
      </x:c>
      <x:c r="H544" s="39" t="n">
        <x:v>1</x:v>
      </x:c>
      <x:c r="I544" s="39" t="n">
        <x:v>1</x:v>
      </x:c>
      <x:c r="J544" s="40" t="n">
        <x:f>B544/1000000000</x:f>
        <x:v>49.8</x:v>
      </x:c>
      <x:c r="K544" s="41" t="n">
        <x:f>IF(C544&lt;0,NA(),(F544-B544)/1000000)</x:f>
        <x:v>0.125975</x:v>
      </x:c>
      <x:c r="L544" s="39" t="n">
        <x:f>IF(C544&lt;0,1,IF(OR(G544=0,H544=0,I544=0,F544-B544&gt;100000000),1,0))</x:f>
        <x:v>0</x:v>
      </x:c>
      <x:c r="M544" s="39" t="n">
        <x:f>IF(C544&lt;0,1,0)</x:f>
        <x:v>0</x:v>
      </x:c>
      <x:c r="N544" s="1"/>
      <x:c r="O544" s="1"/>
      <x:c r="P544" s="1"/>
      <x:c r="Q544" s="1"/>
      <x:c r="R544" s="1"/>
    </x:row>
    <x:row r="545" ht="22" customHeight="1">
      <x:c r="A545" s="39" t="n">
        <x:v>499</x:v>
      </x:c>
      <x:c r="B545" s="39" t="n">
        <x:v>49900000000</x:v>
      </x:c>
      <x:c r="C545" s="39" t="n">
        <x:v>49900057238</x:v>
      </x:c>
      <x:c r="D545" s="39" t="n">
        <x:v>49900086774</x:v>
      </x:c>
      <x:c r="E545" s="39" t="n">
        <x:v>49900110866</x:v>
      </x:c>
      <x:c r="F545" s="39" t="n">
        <x:v>49900121014</x:v>
      </x:c>
      <x:c r="G545" s="39" t="n">
        <x:v>1</x:v>
      </x:c>
      <x:c r="H545" s="39" t="n">
        <x:v>1</x:v>
      </x:c>
      <x:c r="I545" s="39" t="n">
        <x:v>1</x:v>
      </x:c>
      <x:c r="J545" s="40" t="n">
        <x:f>B545/1000000000</x:f>
        <x:v>49.9</x:v>
      </x:c>
      <x:c r="K545" s="41" t="n">
        <x:f>IF(C545&lt;0,NA(),(F545-B545)/1000000)</x:f>
        <x:v>0.121014</x:v>
      </x:c>
      <x:c r="L545" s="39" t="n">
        <x:f>IF(C545&lt;0,1,IF(OR(G545=0,H545=0,I545=0,F545-B545&gt;100000000),1,0))</x:f>
        <x:v>0</x:v>
      </x:c>
      <x:c r="M545" s="39" t="n">
        <x:f>IF(C545&lt;0,1,0)</x:f>
        <x:v>0</x:v>
      </x:c>
      <x:c r="N545" s="1"/>
      <x:c r="O545" s="1"/>
      <x:c r="P545" s="1"/>
      <x:c r="Q545" s="1"/>
      <x:c r="R545" s="1"/>
    </x:row>
    <x:row r="546" ht="22" customHeight="1">
      <x:c r="A546" s="39" t="n">
        <x:v>500</x:v>
      </x:c>
      <x:c r="B546" s="39" t="n">
        <x:v>50000000000</x:v>
      </x:c>
      <x:c r="C546" s="39" t="n">
        <x:v>50000054930</x:v>
      </x:c>
      <x:c r="D546" s="39" t="n">
        <x:v>50000073522</x:v>
      </x:c>
      <x:c r="E546" s="39" t="n">
        <x:v>50000091707</x:v>
      </x:c>
      <x:c r="F546" s="39" t="n">
        <x:v>50000101299</x:v>
      </x:c>
      <x:c r="G546" s="39" t="n">
        <x:v>1</x:v>
      </x:c>
      <x:c r="H546" s="39" t="n">
        <x:v>1</x:v>
      </x:c>
      <x:c r="I546" s="39" t="n">
        <x:v>1</x:v>
      </x:c>
      <x:c r="J546" s="40" t="n">
        <x:f>B546/1000000000</x:f>
        <x:v>50</x:v>
      </x:c>
      <x:c r="K546" s="41" t="n">
        <x:f>IF(C546&lt;0,NA(),(F546-B546)/1000000)</x:f>
        <x:v>0.101299</x:v>
      </x:c>
      <x:c r="L546" s="39" t="n">
        <x:f>IF(C546&lt;0,1,IF(OR(G546=0,H546=0,I546=0,F546-B546&gt;100000000),1,0))</x:f>
        <x:v>0</x:v>
      </x:c>
      <x:c r="M546" s="39" t="n">
        <x:f>IF(C546&lt;0,1,0)</x:f>
        <x:v>0</x:v>
      </x:c>
      <x:c r="N546" s="1"/>
      <x:c r="O546" s="1"/>
      <x:c r="P546" s="1"/>
      <x:c r="Q546" s="1"/>
      <x:c r="R546" s="1"/>
    </x:row>
    <x:row r="547" ht="22" customHeight="1">
      <x:c r="A547" s="39" t="n">
        <x:v>501</x:v>
      </x:c>
      <x:c r="B547" s="39" t="n">
        <x:v>50100000000</x:v>
      </x:c>
      <x:c r="C547" s="39" t="n">
        <x:v>50100053733</x:v>
      </x:c>
      <x:c r="D547" s="39" t="n">
        <x:v>50100065195</x:v>
      </x:c>
      <x:c r="E547" s="39" t="n">
        <x:v>50100078973</x:v>
      </x:c>
      <x:c r="F547" s="39" t="n">
        <x:v>50100088769</x:v>
      </x:c>
      <x:c r="G547" s="39" t="n">
        <x:v>1</x:v>
      </x:c>
      <x:c r="H547" s="39" t="n">
        <x:v>1</x:v>
      </x:c>
      <x:c r="I547" s="39" t="n">
        <x:v>1</x:v>
      </x:c>
      <x:c r="J547" s="40" t="n">
        <x:f>B547/1000000000</x:f>
        <x:v>50.1</x:v>
      </x:c>
      <x:c r="K547" s="41" t="n">
        <x:f>IF(C547&lt;0,NA(),(F547-B547)/1000000)</x:f>
        <x:v>0.088769</x:v>
      </x:c>
      <x:c r="L547" s="39" t="n">
        <x:f>IF(C547&lt;0,1,IF(OR(G547=0,H547=0,I547=0,F547-B547&gt;100000000),1,0))</x:f>
        <x:v>0</x:v>
      </x:c>
      <x:c r="M547" s="39" t="n">
        <x:f>IF(C547&lt;0,1,0)</x:f>
        <x:v>0</x:v>
      </x:c>
      <x:c r="N547" s="1"/>
      <x:c r="O547" s="1"/>
      <x:c r="P547" s="1"/>
      <x:c r="Q547" s="1"/>
      <x:c r="R547" s="1"/>
    </x:row>
    <x:row r="548" ht="22" customHeight="1">
      <x:c r="A548" s="39" t="n">
        <x:v>502</x:v>
      </x:c>
      <x:c r="B548" s="39" t="n">
        <x:v>50200000000</x:v>
      </x:c>
      <x:c r="C548" s="39" t="n">
        <x:v>50200054943</x:v>
      </x:c>
      <x:c r="D548" s="39" t="n">
        <x:v>50200070091</x:v>
      </x:c>
      <x:c r="E548" s="39" t="n">
        <x:v>50200086368</x:v>
      </x:c>
      <x:c r="F548" s="39" t="n">
        <x:v>50200096109</x:v>
      </x:c>
      <x:c r="G548" s="39" t="n">
        <x:v>1</x:v>
      </x:c>
      <x:c r="H548" s="39" t="n">
        <x:v>1</x:v>
      </x:c>
      <x:c r="I548" s="39" t="n">
        <x:v>1</x:v>
      </x:c>
      <x:c r="J548" s="40" t="n">
        <x:f>B548/1000000000</x:f>
        <x:v>50.2</x:v>
      </x:c>
      <x:c r="K548" s="41" t="n">
        <x:f>IF(C548&lt;0,NA(),(F548-B548)/1000000)</x:f>
        <x:v>0.096109</x:v>
      </x:c>
      <x:c r="L548" s="39" t="n">
        <x:f>IF(C548&lt;0,1,IF(OR(G548=0,H548=0,I548=0,F548-B548&gt;100000000),1,0))</x:f>
        <x:v>0</x:v>
      </x:c>
      <x:c r="M548" s="39" t="n">
        <x:f>IF(C548&lt;0,1,0)</x:f>
        <x:v>0</x:v>
      </x:c>
      <x:c r="N548" s="1"/>
      <x:c r="O548" s="1"/>
      <x:c r="P548" s="1"/>
      <x:c r="Q548" s="1"/>
      <x:c r="R548" s="1"/>
    </x:row>
    <x:row r="549" ht="22" customHeight="1">
      <x:c r="A549" s="39" t="n">
        <x:v>503</x:v>
      </x:c>
      <x:c r="B549" s="39" t="n">
        <x:v>50300000000</x:v>
      </x:c>
      <x:c r="C549" s="39" t="n">
        <x:v>50300053765</x:v>
      </x:c>
      <x:c r="D549" s="39" t="n">
        <x:v>50300068024</x:v>
      </x:c>
      <x:c r="E549" s="39" t="n">
        <x:v>50300082523</x:v>
      </x:c>
      <x:c r="F549" s="39" t="n">
        <x:v>50300092116</x:v>
      </x:c>
      <x:c r="G549" s="39" t="n">
        <x:v>1</x:v>
      </x:c>
      <x:c r="H549" s="39" t="n">
        <x:v>1</x:v>
      </x:c>
      <x:c r="I549" s="39" t="n">
        <x:v>1</x:v>
      </x:c>
      <x:c r="J549" s="40" t="n">
        <x:f>B549/1000000000</x:f>
        <x:v>50.3</x:v>
      </x:c>
      <x:c r="K549" s="41" t="n">
        <x:f>IF(C549&lt;0,NA(),(F549-B549)/1000000)</x:f>
        <x:v>0.092116</x:v>
      </x:c>
      <x:c r="L549" s="39" t="n">
        <x:f>IF(C549&lt;0,1,IF(OR(G549=0,H549=0,I549=0,F549-B549&gt;100000000),1,0))</x:f>
        <x:v>0</x:v>
      </x:c>
      <x:c r="M549" s="39" t="n">
        <x:f>IF(C549&lt;0,1,0)</x:f>
        <x:v>0</x:v>
      </x:c>
      <x:c r="N549" s="1"/>
      <x:c r="O549" s="1"/>
      <x:c r="P549" s="1"/>
      <x:c r="Q549" s="1"/>
      <x:c r="R549" s="1"/>
    </x:row>
    <x:row r="550" ht="22" customHeight="1">
      <x:c r="A550" s="39" t="n">
        <x:v>504</x:v>
      </x:c>
      <x:c r="B550" s="39" t="n">
        <x:v>50400000000</x:v>
      </x:c>
      <x:c r="C550" s="39" t="n">
        <x:v>50400056994</x:v>
      </x:c>
      <x:c r="D550" s="39" t="n">
        <x:v>50400084975</x:v>
      </x:c>
      <x:c r="E550" s="39" t="n">
        <x:v>50400107622</x:v>
      </x:c>
      <x:c r="F550" s="39" t="n">
        <x:v>50400117363</x:v>
      </x:c>
      <x:c r="G550" s="39" t="n">
        <x:v>1</x:v>
      </x:c>
      <x:c r="H550" s="39" t="n">
        <x:v>1</x:v>
      </x:c>
      <x:c r="I550" s="39" t="n">
        <x:v>1</x:v>
      </x:c>
      <x:c r="J550" s="40" t="n">
        <x:f>B550/1000000000</x:f>
        <x:v>50.4</x:v>
      </x:c>
      <x:c r="K550" s="41" t="n">
        <x:f>IF(C550&lt;0,NA(),(F550-B550)/1000000)</x:f>
        <x:v>0.117363</x:v>
      </x:c>
      <x:c r="L550" s="39" t="n">
        <x:f>IF(C550&lt;0,1,IF(OR(G550=0,H550=0,I550=0,F550-B550&gt;100000000),1,0))</x:f>
        <x:v>0</x:v>
      </x:c>
      <x:c r="M550" s="39" t="n">
        <x:f>IF(C550&lt;0,1,0)</x:f>
        <x:v>0</x:v>
      </x:c>
      <x:c r="N550" s="1"/>
      <x:c r="O550" s="1"/>
      <x:c r="P550" s="1"/>
      <x:c r="Q550" s="1"/>
      <x:c r="R550" s="1"/>
    </x:row>
    <x:row r="551" ht="22" customHeight="1">
      <x:c r="A551" s="39" t="n">
        <x:v>505</x:v>
      </x:c>
      <x:c r="B551" s="39" t="n">
        <x:v>50500000000</x:v>
      </x:c>
      <x:c r="C551" s="39" t="n">
        <x:v>50500055482</x:v>
      </x:c>
      <x:c r="D551" s="39" t="n">
        <x:v>50500070426</x:v>
      </x:c>
      <x:c r="E551" s="39" t="n">
        <x:v>50500085926</x:v>
      </x:c>
      <x:c r="F551" s="39" t="n">
        <x:v>50500095722</x:v>
      </x:c>
      <x:c r="G551" s="39" t="n">
        <x:v>1</x:v>
      </x:c>
      <x:c r="H551" s="39" t="n">
        <x:v>1</x:v>
      </x:c>
      <x:c r="I551" s="39" t="n">
        <x:v>1</x:v>
      </x:c>
      <x:c r="J551" s="40" t="n">
        <x:f>B551/1000000000</x:f>
        <x:v>50.5</x:v>
      </x:c>
      <x:c r="K551" s="41" t="n">
        <x:f>IF(C551&lt;0,NA(),(F551-B551)/1000000)</x:f>
        <x:v>0.095722</x:v>
      </x:c>
      <x:c r="L551" s="39" t="n">
        <x:f>IF(C551&lt;0,1,IF(OR(G551=0,H551=0,I551=0,F551-B551&gt;100000000),1,0))</x:f>
        <x:v>0</x:v>
      </x:c>
      <x:c r="M551" s="39" t="n">
        <x:f>IF(C551&lt;0,1,0)</x:f>
        <x:v>0</x:v>
      </x:c>
      <x:c r="N551" s="1"/>
      <x:c r="O551" s="1"/>
      <x:c r="P551" s="1"/>
      <x:c r="Q551" s="1"/>
      <x:c r="R551" s="1"/>
    </x:row>
    <x:row r="552" ht="22" customHeight="1">
      <x:c r="A552" s="39" t="n">
        <x:v>506</x:v>
      </x:c>
      <x:c r="B552" s="39" t="n">
        <x:v>50600000000</x:v>
      </x:c>
      <x:c r="C552" s="39" t="n">
        <x:v>50600054525</x:v>
      </x:c>
      <x:c r="D552" s="39" t="n">
        <x:v>50600071803</x:v>
      </x:c>
      <x:c r="E552" s="39" t="n">
        <x:v>50600089229</x:v>
      </x:c>
      <x:c r="F552" s="39" t="n">
        <x:v>50600098932</x:v>
      </x:c>
      <x:c r="G552" s="39" t="n">
        <x:v>1</x:v>
      </x:c>
      <x:c r="H552" s="39" t="n">
        <x:v>1</x:v>
      </x:c>
      <x:c r="I552" s="39" t="n">
        <x:v>1</x:v>
      </x:c>
      <x:c r="J552" s="40" t="n">
        <x:f>B552/1000000000</x:f>
        <x:v>50.6</x:v>
      </x:c>
      <x:c r="K552" s="41" t="n">
        <x:f>IF(C552&lt;0,NA(),(F552-B552)/1000000)</x:f>
        <x:v>0.098932</x:v>
      </x:c>
      <x:c r="L552" s="39" t="n">
        <x:f>IF(C552&lt;0,1,IF(OR(G552=0,H552=0,I552=0,F552-B552&gt;100000000),1,0))</x:f>
        <x:v>0</x:v>
      </x:c>
      <x:c r="M552" s="39" t="n">
        <x:f>IF(C552&lt;0,1,0)</x:f>
        <x:v>0</x:v>
      </x:c>
      <x:c r="N552" s="1"/>
      <x:c r="O552" s="1"/>
      <x:c r="P552" s="1"/>
      <x:c r="Q552" s="1"/>
      <x:c r="R552" s="1"/>
    </x:row>
    <x:row r="553" ht="22" customHeight="1">
      <x:c r="A553" s="39" t="n">
        <x:v>507</x:v>
      </x:c>
      <x:c r="B553" s="39" t="n">
        <x:v>50700000000</x:v>
      </x:c>
      <x:c r="C553" s="39" t="n">
        <x:v>50700053717</x:v>
      </x:c>
      <x:c r="D553" s="39" t="n">
        <x:v>50700063495</x:v>
      </x:c>
      <x:c r="E553" s="39" t="n">
        <x:v>50700074365</x:v>
      </x:c>
      <x:c r="F553" s="39" t="n">
        <x:v>50700083865</x:v>
      </x:c>
      <x:c r="G553" s="39" t="n">
        <x:v>1</x:v>
      </x:c>
      <x:c r="H553" s="39" t="n">
        <x:v>1</x:v>
      </x:c>
      <x:c r="I553" s="39" t="n">
        <x:v>1</x:v>
      </x:c>
      <x:c r="J553" s="40" t="n">
        <x:f>B553/1000000000</x:f>
        <x:v>50.7</x:v>
      </x:c>
      <x:c r="K553" s="41" t="n">
        <x:f>IF(C553&lt;0,NA(),(F553-B553)/1000000)</x:f>
        <x:v>0.083865</x:v>
      </x:c>
      <x:c r="L553" s="39" t="n">
        <x:f>IF(C553&lt;0,1,IF(OR(G553=0,H553=0,I553=0,F553-B553&gt;100000000),1,0))</x:f>
        <x:v>0</x:v>
      </x:c>
      <x:c r="M553" s="39" t="n">
        <x:f>IF(C553&lt;0,1,0)</x:f>
        <x:v>0</x:v>
      </x:c>
      <x:c r="N553" s="1"/>
      <x:c r="O553" s="1"/>
      <x:c r="P553" s="1"/>
      <x:c r="Q553" s="1"/>
      <x:c r="R553" s="1"/>
    </x:row>
    <x:row r="554" ht="22" customHeight="1">
      <x:c r="A554" s="39" t="n">
        <x:v>508</x:v>
      </x:c>
      <x:c r="B554" s="39" t="n">
        <x:v>50800000000</x:v>
      </x:c>
      <x:c r="C554" s="39" t="n">
        <x:v>50800054002</x:v>
      </x:c>
      <x:c r="D554" s="39" t="n">
        <x:v>50800067687</x:v>
      </x:c>
      <x:c r="E554" s="39" t="n">
        <x:v>50800081650</x:v>
      </x:c>
      <x:c r="F554" s="39" t="n">
        <x:v>50800091242</x:v>
      </x:c>
      <x:c r="G554" s="39" t="n">
        <x:v>1</x:v>
      </x:c>
      <x:c r="H554" s="39" t="n">
        <x:v>1</x:v>
      </x:c>
      <x:c r="I554" s="39" t="n">
        <x:v>1</x:v>
      </x:c>
      <x:c r="J554" s="40" t="n">
        <x:f>B554/1000000000</x:f>
        <x:v>50.8</x:v>
      </x:c>
      <x:c r="K554" s="41" t="n">
        <x:f>IF(C554&lt;0,NA(),(F554-B554)/1000000)</x:f>
        <x:v>0.091242</x:v>
      </x:c>
      <x:c r="L554" s="39" t="n">
        <x:f>IF(C554&lt;0,1,IF(OR(G554=0,H554=0,I554=0,F554-B554&gt;100000000),1,0))</x:f>
        <x:v>0</x:v>
      </x:c>
      <x:c r="M554" s="39" t="n">
        <x:f>IF(C554&lt;0,1,0)</x:f>
        <x:v>0</x:v>
      </x:c>
      <x:c r="N554" s="1"/>
      <x:c r="O554" s="1"/>
      <x:c r="P554" s="1"/>
      <x:c r="Q554" s="1"/>
      <x:c r="R554" s="1"/>
    </x:row>
    <x:row r="555" ht="22" customHeight="1">
      <x:c r="A555" s="39" t="n">
        <x:v>509</x:v>
      </x:c>
      <x:c r="B555" s="39" t="n">
        <x:v>50900000000</x:v>
      </x:c>
      <x:c r="C555" s="39" t="n">
        <x:v>50900053257</x:v>
      </x:c>
      <x:c r="D555" s="39" t="n">
        <x:v>50900064775</x:v>
      </x:c>
      <x:c r="E555" s="39" t="n">
        <x:v>50900078164</x:v>
      </x:c>
      <x:c r="F555" s="39" t="n">
        <x:v>50900087793</x:v>
      </x:c>
      <x:c r="G555" s="39" t="n">
        <x:v>1</x:v>
      </x:c>
      <x:c r="H555" s="39" t="n">
        <x:v>1</x:v>
      </x:c>
      <x:c r="I555" s="39" t="n">
        <x:v>1</x:v>
      </x:c>
      <x:c r="J555" s="40" t="n">
        <x:f>B555/1000000000</x:f>
        <x:v>50.9</x:v>
      </x:c>
      <x:c r="K555" s="41" t="n">
        <x:f>IF(C555&lt;0,NA(),(F555-B555)/1000000)</x:f>
        <x:v>0.087793</x:v>
      </x:c>
      <x:c r="L555" s="39" t="n">
        <x:f>IF(C555&lt;0,1,IF(OR(G555=0,H555=0,I555=0,F555-B555&gt;100000000),1,0))</x:f>
        <x:v>0</x:v>
      </x:c>
      <x:c r="M555" s="39" t="n">
        <x:f>IF(C555&lt;0,1,0)</x:f>
        <x:v>0</x:v>
      </x:c>
      <x:c r="N555" s="1"/>
      <x:c r="O555" s="1"/>
      <x:c r="P555" s="1"/>
      <x:c r="Q555" s="1"/>
      <x:c r="R555" s="1"/>
    </x:row>
    <x:row r="556" ht="22" customHeight="1">
      <x:c r="A556" s="39" t="n">
        <x:v>510</x:v>
      </x:c>
      <x:c r="B556" s="39" t="n">
        <x:v>51000000000</x:v>
      </x:c>
      <x:c r="C556" s="39" t="n">
        <x:v>51000056460</x:v>
      </x:c>
      <x:c r="D556" s="39" t="n">
        <x:v>51000080922</x:v>
      </x:c>
      <x:c r="E556" s="39" t="n">
        <x:v>51000101533</x:v>
      </x:c>
      <x:c r="F556" s="39" t="n">
        <x:v>51000111477</x:v>
      </x:c>
      <x:c r="G556" s="39" t="n">
        <x:v>1</x:v>
      </x:c>
      <x:c r="H556" s="39" t="n">
        <x:v>1</x:v>
      </x:c>
      <x:c r="I556" s="39" t="n">
        <x:v>1</x:v>
      </x:c>
      <x:c r="J556" s="40" t="n">
        <x:f>B556/1000000000</x:f>
        <x:v>51</x:v>
      </x:c>
      <x:c r="K556" s="41" t="n">
        <x:f>IF(C556&lt;0,NA(),(F556-B556)/1000000)</x:f>
        <x:v>0.111477</x:v>
      </x:c>
      <x:c r="L556" s="39" t="n">
        <x:f>IF(C556&lt;0,1,IF(OR(G556=0,H556=0,I556=0,F556-B556&gt;100000000),1,0))</x:f>
        <x:v>0</x:v>
      </x:c>
      <x:c r="M556" s="39" t="n">
        <x:f>IF(C556&lt;0,1,0)</x:f>
        <x:v>0</x:v>
      </x:c>
      <x:c r="N556" s="1"/>
      <x:c r="O556" s="1"/>
      <x:c r="P556" s="1"/>
      <x:c r="Q556" s="1"/>
      <x:c r="R556" s="1"/>
    </x:row>
    <x:row r="557" ht="22" customHeight="1">
      <x:c r="A557" s="39" t="n">
        <x:v>511</x:v>
      </x:c>
      <x:c r="B557" s="39" t="n">
        <x:v>51100000000</x:v>
      </x:c>
      <x:c r="C557" s="39" t="n">
        <x:v>51100053996</x:v>
      </x:c>
      <x:c r="D557" s="39" t="n">
        <x:v>51100069922</x:v>
      </x:c>
      <x:c r="E557" s="39" t="n">
        <x:v>51100085662</x:v>
      </x:c>
      <x:c r="F557" s="39" t="n">
        <x:v>51100095291</x:v>
      </x:c>
      <x:c r="G557" s="39" t="n">
        <x:v>1</x:v>
      </x:c>
      <x:c r="H557" s="39" t="n">
        <x:v>1</x:v>
      </x:c>
      <x:c r="I557" s="39" t="n">
        <x:v>1</x:v>
      </x:c>
      <x:c r="J557" s="40" t="n">
        <x:f>B557/1000000000</x:f>
        <x:v>51.1</x:v>
      </x:c>
      <x:c r="K557" s="41" t="n">
        <x:f>IF(C557&lt;0,NA(),(F557-B557)/1000000)</x:f>
        <x:v>0.095291</x:v>
      </x:c>
      <x:c r="L557" s="39" t="n">
        <x:f>IF(C557&lt;0,1,IF(OR(G557=0,H557=0,I557=0,F557-B557&gt;100000000),1,0))</x:f>
        <x:v>0</x:v>
      </x:c>
      <x:c r="M557" s="39" t="n">
        <x:f>IF(C557&lt;0,1,0)</x:f>
        <x:v>0</x:v>
      </x:c>
      <x:c r="N557" s="1"/>
      <x:c r="O557" s="1"/>
      <x:c r="P557" s="1"/>
      <x:c r="Q557" s="1"/>
      <x:c r="R557" s="1"/>
    </x:row>
    <x:row r="558" ht="22" customHeight="1">
      <x:c r="A558" s="39" t="n">
        <x:v>512</x:v>
      </x:c>
      <x:c r="B558" s="39" t="n">
        <x:v>51200000000</x:v>
      </x:c>
      <x:c r="C558" s="39" t="n">
        <x:v>51200055884</x:v>
      </x:c>
      <x:c r="D558" s="39" t="n">
        <x:v>51200089624</x:v>
      </x:c>
      <x:c r="E558" s="39" t="n">
        <x:v>51200116846</x:v>
      </x:c>
      <x:c r="F558" s="39" t="n">
        <x:v>51200127272</x:v>
      </x:c>
      <x:c r="G558" s="39" t="n">
        <x:v>1</x:v>
      </x:c>
      <x:c r="H558" s="39" t="n">
        <x:v>1</x:v>
      </x:c>
      <x:c r="I558" s="39" t="n">
        <x:v>1</x:v>
      </x:c>
      <x:c r="J558" s="40" t="n">
        <x:f>B558/1000000000</x:f>
        <x:v>51.2</x:v>
      </x:c>
      <x:c r="K558" s="41" t="n">
        <x:f>IF(C558&lt;0,NA(),(F558-B558)/1000000)</x:f>
        <x:v>0.127272</x:v>
      </x:c>
      <x:c r="L558" s="39" t="n">
        <x:f>IF(C558&lt;0,1,IF(OR(G558=0,H558=0,I558=0,F558-B558&gt;100000000),1,0))</x:f>
        <x:v>0</x:v>
      </x:c>
      <x:c r="M558" s="39" t="n">
        <x:f>IF(C558&lt;0,1,0)</x:f>
        <x:v>0</x:v>
      </x:c>
      <x:c r="N558" s="1"/>
      <x:c r="O558" s="1"/>
      <x:c r="P558" s="1"/>
      <x:c r="Q558" s="1"/>
      <x:c r="R558" s="1"/>
    </x:row>
    <x:row r="559" ht="22" customHeight="1">
      <x:c r="A559" s="39" t="n">
        <x:v>513</x:v>
      </x:c>
      <x:c r="B559" s="39" t="n">
        <x:v>51300000000</x:v>
      </x:c>
      <x:c r="C559" s="39" t="n">
        <x:v>51300054217</x:v>
      </x:c>
      <x:c r="D559" s="39" t="n">
        <x:v>51300071050</x:v>
      </x:c>
      <x:c r="E559" s="39" t="n">
        <x:v>51300090716</x:v>
      </x:c>
      <x:c r="F559" s="39" t="n">
        <x:v>51300100494</x:v>
      </x:c>
      <x:c r="G559" s="39" t="n">
        <x:v>1</x:v>
      </x:c>
      <x:c r="H559" s="39" t="n">
        <x:v>1</x:v>
      </x:c>
      <x:c r="I559" s="39" t="n">
        <x:v>1</x:v>
      </x:c>
      <x:c r="J559" s="40" t="n">
        <x:f>B559/1000000000</x:f>
        <x:v>51.3</x:v>
      </x:c>
      <x:c r="K559" s="41" t="n">
        <x:f>IF(C559&lt;0,NA(),(F559-B559)/1000000)</x:f>
        <x:v>0.100494</x:v>
      </x:c>
      <x:c r="L559" s="39" t="n">
        <x:f>IF(C559&lt;0,1,IF(OR(G559=0,H559=0,I559=0,F559-B559&gt;100000000),1,0))</x:f>
        <x:v>0</x:v>
      </x:c>
      <x:c r="M559" s="39" t="n">
        <x:f>IF(C559&lt;0,1,0)</x:f>
        <x:v>0</x:v>
      </x:c>
      <x:c r="N559" s="1"/>
      <x:c r="O559" s="1"/>
      <x:c r="P559" s="1"/>
      <x:c r="Q559" s="1"/>
      <x:c r="R559" s="1"/>
    </x:row>
    <x:row r="560" ht="22" customHeight="1">
      <x:c r="A560" s="39" t="n">
        <x:v>514</x:v>
      </x:c>
      <x:c r="B560" s="39" t="n">
        <x:v>51400000000</x:v>
      </x:c>
      <x:c r="C560" s="39" t="n">
        <x:v>51400053179</x:v>
      </x:c>
      <x:c r="D560" s="39" t="n">
        <x:v>51400067123</x:v>
      </x:c>
      <x:c r="E560" s="39" t="n">
        <x:v>51400081900</x:v>
      </x:c>
      <x:c r="F560" s="39" t="n">
        <x:v>51400091511</x:v>
      </x:c>
      <x:c r="G560" s="39" t="n">
        <x:v>1</x:v>
      </x:c>
      <x:c r="H560" s="39" t="n">
        <x:v>1</x:v>
      </x:c>
      <x:c r="I560" s="39" t="n">
        <x:v>1</x:v>
      </x:c>
      <x:c r="J560" s="40" t="n">
        <x:f>B560/1000000000</x:f>
        <x:v>51.4</x:v>
      </x:c>
      <x:c r="K560" s="41" t="n">
        <x:f>IF(C560&lt;0,NA(),(F560-B560)/1000000)</x:f>
        <x:v>0.091511</x:v>
      </x:c>
      <x:c r="L560" s="39" t="n">
        <x:f>IF(C560&lt;0,1,IF(OR(G560=0,H560=0,I560=0,F560-B560&gt;100000000),1,0))</x:f>
        <x:v>0</x:v>
      </x:c>
      <x:c r="M560" s="39" t="n">
        <x:f>IF(C560&lt;0,1,0)</x:f>
        <x:v>0</x:v>
      </x:c>
      <x:c r="N560" s="1"/>
      <x:c r="O560" s="1"/>
      <x:c r="P560" s="1"/>
      <x:c r="Q560" s="1"/>
      <x:c r="R560" s="1"/>
    </x:row>
    <x:row r="561" ht="22" customHeight="1">
      <x:c r="A561" s="39" t="n">
        <x:v>515</x:v>
      </x:c>
      <x:c r="B561" s="39" t="n">
        <x:v>51500000000</x:v>
      </x:c>
      <x:c r="C561" s="39" t="n">
        <x:v>51500055141</x:v>
      </x:c>
      <x:c r="D561" s="39" t="n">
        <x:v>51500069900</x:v>
      </x:c>
      <x:c r="E561" s="39" t="n">
        <x:v>51500087585</x:v>
      </x:c>
      <x:c r="F561" s="39" t="n">
        <x:v>51500097399</x:v>
      </x:c>
      <x:c r="G561" s="39" t="n">
        <x:v>1</x:v>
      </x:c>
      <x:c r="H561" s="39" t="n">
        <x:v>1</x:v>
      </x:c>
      <x:c r="I561" s="39" t="n">
        <x:v>1</x:v>
      </x:c>
      <x:c r="J561" s="40" t="n">
        <x:f>B561/1000000000</x:f>
        <x:v>51.5</x:v>
      </x:c>
      <x:c r="K561" s="41" t="n">
        <x:f>IF(C561&lt;0,NA(),(F561-B561)/1000000)</x:f>
        <x:v>0.097399</x:v>
      </x:c>
      <x:c r="L561" s="39" t="n">
        <x:f>IF(C561&lt;0,1,IF(OR(G561=0,H561=0,I561=0,F561-B561&gt;100000000),1,0))</x:f>
        <x:v>0</x:v>
      </x:c>
      <x:c r="M561" s="39" t="n">
        <x:f>IF(C561&lt;0,1,0)</x:f>
        <x:v>0</x:v>
      </x:c>
      <x:c r="N561" s="1"/>
      <x:c r="O561" s="1"/>
      <x:c r="P561" s="1"/>
      <x:c r="Q561" s="1"/>
      <x:c r="R561" s="1"/>
    </x:row>
    <x:row r="562" ht="22" customHeight="1">
      <x:c r="A562" s="39" t="n">
        <x:v>516</x:v>
      </x:c>
      <x:c r="B562" s="39" t="n">
        <x:v>51600000000</x:v>
      </x:c>
      <x:c r="C562" s="39" t="n">
        <x:v>51600057455</x:v>
      </x:c>
      <x:c r="D562" s="39" t="n">
        <x:v>51600086769</x:v>
      </x:c>
      <x:c r="E562" s="39" t="n">
        <x:v>51600111269</x:v>
      </x:c>
      <x:c r="F562" s="39" t="n">
        <x:v>51600121324</x:v>
      </x:c>
      <x:c r="G562" s="39" t="n">
        <x:v>1</x:v>
      </x:c>
      <x:c r="H562" s="39" t="n">
        <x:v>1</x:v>
      </x:c>
      <x:c r="I562" s="39" t="n">
        <x:v>1</x:v>
      </x:c>
      <x:c r="J562" s="40" t="n">
        <x:f>B562/1000000000</x:f>
        <x:v>51.6</x:v>
      </x:c>
      <x:c r="K562" s="41" t="n">
        <x:f>IF(C562&lt;0,NA(),(F562-B562)/1000000)</x:f>
        <x:v>0.121324</x:v>
      </x:c>
      <x:c r="L562" s="39" t="n">
        <x:f>IF(C562&lt;0,1,IF(OR(G562=0,H562=0,I562=0,F562-B562&gt;100000000),1,0))</x:f>
        <x:v>0</x:v>
      </x:c>
      <x:c r="M562" s="39" t="n">
        <x:f>IF(C562&lt;0,1,0)</x:f>
        <x:v>0</x:v>
      </x:c>
      <x:c r="N562" s="1"/>
      <x:c r="O562" s="1"/>
      <x:c r="P562" s="1"/>
      <x:c r="Q562" s="1"/>
      <x:c r="R562" s="1"/>
    </x:row>
    <x:row r="563" ht="22" customHeight="1">
      <x:c r="A563" s="39" t="n">
        <x:v>517</x:v>
      </x:c>
      <x:c r="B563" s="39" t="n">
        <x:v>51700000000</x:v>
      </x:c>
      <x:c r="C563" s="39" t="n">
        <x:v>51700054639</x:v>
      </x:c>
      <x:c r="D563" s="39" t="n">
        <x:v>51700078861</x:v>
      </x:c>
      <x:c r="E563" s="39" t="n">
        <x:v>51700099953</x:v>
      </x:c>
      <x:c r="F563" s="39" t="n">
        <x:v>51700109731</x:v>
      </x:c>
      <x:c r="G563" s="39" t="n">
        <x:v>1</x:v>
      </x:c>
      <x:c r="H563" s="39" t="n">
        <x:v>1</x:v>
      </x:c>
      <x:c r="I563" s="39" t="n">
        <x:v>1</x:v>
      </x:c>
      <x:c r="J563" s="40" t="n">
        <x:f>B563/1000000000</x:f>
        <x:v>51.7</x:v>
      </x:c>
      <x:c r="K563" s="41" t="n">
        <x:f>IF(C563&lt;0,NA(),(F563-B563)/1000000)</x:f>
        <x:v>0.109731</x:v>
      </x:c>
      <x:c r="L563" s="39" t="n">
        <x:f>IF(C563&lt;0,1,IF(OR(G563=0,H563=0,I563=0,F563-B563&gt;100000000),1,0))</x:f>
        <x:v>0</x:v>
      </x:c>
      <x:c r="M563" s="39" t="n">
        <x:f>IF(C563&lt;0,1,0)</x:f>
        <x:v>0</x:v>
      </x:c>
      <x:c r="N563" s="1"/>
      <x:c r="O563" s="1"/>
      <x:c r="P563" s="1"/>
      <x:c r="Q563" s="1"/>
      <x:c r="R563" s="1"/>
    </x:row>
    <x:row r="564" ht="22" customHeight="1">
      <x:c r="A564" s="39" t="n">
        <x:v>518</x:v>
      </x:c>
      <x:c r="B564" s="39" t="n">
        <x:v>51800000000</x:v>
      </x:c>
      <x:c r="C564" s="39" t="n">
        <x:v>51800054972</x:v>
      </x:c>
      <x:c r="D564" s="39" t="n">
        <x:v>51800070101</x:v>
      </x:c>
      <x:c r="E564" s="39" t="n">
        <x:v>51800085545</x:v>
      </x:c>
      <x:c r="F564" s="39" t="n">
        <x:v>51800095101</x:v>
      </x:c>
      <x:c r="G564" s="39" t="n">
        <x:v>1</x:v>
      </x:c>
      <x:c r="H564" s="39" t="n">
        <x:v>1</x:v>
      </x:c>
      <x:c r="I564" s="39" t="n">
        <x:v>1</x:v>
      </x:c>
      <x:c r="J564" s="40" t="n">
        <x:f>B564/1000000000</x:f>
        <x:v>51.8</x:v>
      </x:c>
      <x:c r="K564" s="41" t="n">
        <x:f>IF(C564&lt;0,NA(),(F564-B564)/1000000)</x:f>
        <x:v>0.095101</x:v>
      </x:c>
      <x:c r="L564" s="39" t="n">
        <x:f>IF(C564&lt;0,1,IF(OR(G564=0,H564=0,I564=0,F564-B564&gt;100000000),1,0))</x:f>
        <x:v>0</x:v>
      </x:c>
      <x:c r="M564" s="39" t="n">
        <x:f>IF(C564&lt;0,1,0)</x:f>
        <x:v>0</x:v>
      </x:c>
      <x:c r="N564" s="1"/>
      <x:c r="O564" s="1"/>
      <x:c r="P564" s="1"/>
      <x:c r="Q564" s="1"/>
      <x:c r="R564" s="1"/>
    </x:row>
    <x:row r="565" ht="22" customHeight="1">
      <x:c r="A565" s="39" t="n">
        <x:v>519</x:v>
      </x:c>
      <x:c r="B565" s="39" t="n">
        <x:v>51900000000</x:v>
      </x:c>
      <x:c r="C565" s="39" t="n">
        <x:v>51900053667</x:v>
      </x:c>
      <x:c r="D565" s="39" t="n">
        <x:v>51900072000</x:v>
      </x:c>
      <x:c r="E565" s="39" t="n">
        <x:v>51900090074</x:v>
      </x:c>
      <x:c r="F565" s="39" t="n">
        <x:v>51900099815</x:v>
      </x:c>
      <x:c r="G565" s="39" t="n">
        <x:v>1</x:v>
      </x:c>
      <x:c r="H565" s="39" t="n">
        <x:v>1</x:v>
      </x:c>
      <x:c r="I565" s="39" t="n">
        <x:v>1</x:v>
      </x:c>
      <x:c r="J565" s="40" t="n">
        <x:f>B565/1000000000</x:f>
        <x:v>51.9</x:v>
      </x:c>
      <x:c r="K565" s="41" t="n">
        <x:f>IF(C565&lt;0,NA(),(F565-B565)/1000000)</x:f>
        <x:v>0.099815</x:v>
      </x:c>
      <x:c r="L565" s="39" t="n">
        <x:f>IF(C565&lt;0,1,IF(OR(G565=0,H565=0,I565=0,F565-B565&gt;100000000),1,0))</x:f>
        <x:v>0</x:v>
      </x:c>
      <x:c r="M565" s="39" t="n">
        <x:f>IF(C565&lt;0,1,0)</x:f>
        <x:v>0</x:v>
      </x:c>
      <x:c r="N565" s="1"/>
      <x:c r="O565" s="1"/>
      <x:c r="P565" s="1"/>
      <x:c r="Q565" s="1"/>
      <x:c r="R565" s="1"/>
    </x:row>
    <x:row r="566" ht="22" customHeight="1">
      <x:c r="A566" s="39" t="n">
        <x:v>520</x:v>
      </x:c>
      <x:c r="B566" s="39" t="n">
        <x:v>52000000000</x:v>
      </x:c>
      <x:c r="C566" s="39" t="n">
        <x:v>52000053602</x:v>
      </x:c>
      <x:c r="D566" s="39" t="n">
        <x:v>52000066713</x:v>
      </x:c>
      <x:c r="E566" s="39" t="n">
        <x:v>52000080786</x:v>
      </x:c>
      <x:c r="F566" s="39" t="n">
        <x:v>52000090546</x:v>
      </x:c>
      <x:c r="G566" s="39" t="n">
        <x:v>1</x:v>
      </x:c>
      <x:c r="H566" s="39" t="n">
        <x:v>1</x:v>
      </x:c>
      <x:c r="I566" s="39" t="n">
        <x:v>1</x:v>
      </x:c>
      <x:c r="J566" s="40" t="n">
        <x:f>B566/1000000000</x:f>
        <x:v>52</x:v>
      </x:c>
      <x:c r="K566" s="41" t="n">
        <x:f>IF(C566&lt;0,NA(),(F566-B566)/1000000)</x:f>
        <x:v>0.090546</x:v>
      </x:c>
      <x:c r="L566" s="39" t="n">
        <x:f>IF(C566&lt;0,1,IF(OR(G566=0,H566=0,I566=0,F566-B566&gt;100000000),1,0))</x:f>
        <x:v>0</x:v>
      </x:c>
      <x:c r="M566" s="39" t="n">
        <x:f>IF(C566&lt;0,1,0)</x:f>
        <x:v>0</x:v>
      </x:c>
      <x:c r="N566" s="1"/>
      <x:c r="O566" s="1"/>
      <x:c r="P566" s="1"/>
      <x:c r="Q566" s="1"/>
      <x:c r="R566" s="1"/>
    </x:row>
    <x:row r="567" ht="22" customHeight="1">
      <x:c r="A567" s="39" t="n">
        <x:v>521</x:v>
      </x:c>
      <x:c r="B567" s="39" t="n">
        <x:v>52100000000</x:v>
      </x:c>
      <x:c r="C567" s="39" t="n">
        <x:v>52100053481</x:v>
      </x:c>
      <x:c r="D567" s="39" t="n">
        <x:v>52100068740</x:v>
      </x:c>
      <x:c r="E567" s="39" t="n">
        <x:v>52100084536</x:v>
      </x:c>
      <x:c r="F567" s="39" t="n">
        <x:v>52100094054</x:v>
      </x:c>
      <x:c r="G567" s="39" t="n">
        <x:v>1</x:v>
      </x:c>
      <x:c r="H567" s="39" t="n">
        <x:v>1</x:v>
      </x:c>
      <x:c r="I567" s="39" t="n">
        <x:v>1</x:v>
      </x:c>
      <x:c r="J567" s="40" t="n">
        <x:f>B567/1000000000</x:f>
        <x:v>52.1</x:v>
      </x:c>
      <x:c r="K567" s="41" t="n">
        <x:f>IF(C567&lt;0,NA(),(F567-B567)/1000000)</x:f>
        <x:v>0.094054</x:v>
      </x:c>
      <x:c r="L567" s="39" t="n">
        <x:f>IF(C567&lt;0,1,IF(OR(G567=0,H567=0,I567=0,F567-B567&gt;100000000),1,0))</x:f>
        <x:v>0</x:v>
      </x:c>
      <x:c r="M567" s="39" t="n">
        <x:f>IF(C567&lt;0,1,0)</x:f>
        <x:v>0</x:v>
      </x:c>
      <x:c r="N567" s="1"/>
      <x:c r="O567" s="1"/>
      <x:c r="P567" s="1"/>
      <x:c r="Q567" s="1"/>
      <x:c r="R567" s="1"/>
    </x:row>
    <x:row r="568" ht="22" customHeight="1">
      <x:c r="A568" s="39" t="n">
        <x:v>522</x:v>
      </x:c>
      <x:c r="B568" s="39" t="n">
        <x:v>52200000000</x:v>
      </x:c>
      <x:c r="C568" s="39" t="n">
        <x:v>52200057563</x:v>
      </x:c>
      <x:c r="D568" s="39" t="n">
        <x:v>52200089803</x:v>
      </x:c>
      <x:c r="E568" s="39" t="n">
        <x:v>52200116432</x:v>
      </x:c>
      <x:c r="F568" s="39" t="n">
        <x:v>52200126469</x:v>
      </x:c>
      <x:c r="G568" s="39" t="n">
        <x:v>1</x:v>
      </x:c>
      <x:c r="H568" s="39" t="n">
        <x:v>1</x:v>
      </x:c>
      <x:c r="I568" s="39" t="n">
        <x:v>1</x:v>
      </x:c>
      <x:c r="J568" s="40" t="n">
        <x:f>B568/1000000000</x:f>
        <x:v>52.2</x:v>
      </x:c>
      <x:c r="K568" s="41" t="n">
        <x:f>IF(C568&lt;0,NA(),(F568-B568)/1000000)</x:f>
        <x:v>0.126469</x:v>
      </x:c>
      <x:c r="L568" s="39" t="n">
        <x:f>IF(C568&lt;0,1,IF(OR(G568=0,H568=0,I568=0,F568-B568&gt;100000000),1,0))</x:f>
        <x:v>0</x:v>
      </x:c>
      <x:c r="M568" s="39" t="n">
        <x:f>IF(C568&lt;0,1,0)</x:f>
        <x:v>0</x:v>
      </x:c>
      <x:c r="N568" s="1"/>
      <x:c r="O568" s="1"/>
      <x:c r="P568" s="1"/>
      <x:c r="Q568" s="1"/>
      <x:c r="R568" s="1"/>
    </x:row>
    <x:row r="569" ht="22" customHeight="1">
      <x:c r="A569" s="39" t="n">
        <x:v>523</x:v>
      </x:c>
      <x:c r="B569" s="39" t="n">
        <x:v>52300000000</x:v>
      </x:c>
      <x:c r="C569" s="39" t="n">
        <x:v>52300054145</x:v>
      </x:c>
      <x:c r="D569" s="39" t="n">
        <x:v>52300069182</x:v>
      </x:c>
      <x:c r="E569" s="39" t="n">
        <x:v>52300088737</x:v>
      </x:c>
      <x:c r="F569" s="39" t="n">
        <x:v>52300099034</x:v>
      </x:c>
      <x:c r="G569" s="39" t="n">
        <x:v>1</x:v>
      </x:c>
      <x:c r="H569" s="39" t="n">
        <x:v>1</x:v>
      </x:c>
      <x:c r="I569" s="39" t="n">
        <x:v>1</x:v>
      </x:c>
      <x:c r="J569" s="40" t="n">
        <x:f>B569/1000000000</x:f>
        <x:v>52.3</x:v>
      </x:c>
      <x:c r="K569" s="41" t="n">
        <x:f>IF(C569&lt;0,NA(),(F569-B569)/1000000)</x:f>
        <x:v>0.099034</x:v>
      </x:c>
      <x:c r="L569" s="39" t="n">
        <x:f>IF(C569&lt;0,1,IF(OR(G569=0,H569=0,I569=0,F569-B569&gt;100000000),1,0))</x:f>
        <x:v>0</x:v>
      </x:c>
      <x:c r="M569" s="39" t="n">
        <x:f>IF(C569&lt;0,1,0)</x:f>
        <x:v>0</x:v>
      </x:c>
      <x:c r="N569" s="1"/>
      <x:c r="O569" s="1"/>
      <x:c r="P569" s="1"/>
      <x:c r="Q569" s="1"/>
      <x:c r="R569" s="1"/>
    </x:row>
    <x:row r="570" ht="22" customHeight="1">
      <x:c r="A570" s="39" t="n">
        <x:v>524</x:v>
      </x:c>
      <x:c r="B570" s="39" t="n">
        <x:v>52400000000</x:v>
      </x:c>
      <x:c r="C570" s="39" t="n">
        <x:v>52400053413</x:v>
      </x:c>
      <x:c r="D570" s="39" t="n">
        <x:v>52400065857</x:v>
      </x:c>
      <x:c r="E570" s="39" t="n">
        <x:v>52400077802</x:v>
      </x:c>
      <x:c r="F570" s="39" t="n">
        <x:v>52400087524</x:v>
      </x:c>
      <x:c r="G570" s="39" t="n">
        <x:v>1</x:v>
      </x:c>
      <x:c r="H570" s="39" t="n">
        <x:v>1</x:v>
      </x:c>
      <x:c r="I570" s="39" t="n">
        <x:v>1</x:v>
      </x:c>
      <x:c r="J570" s="40" t="n">
        <x:f>B570/1000000000</x:f>
        <x:v>52.4</x:v>
      </x:c>
      <x:c r="K570" s="41" t="n">
        <x:f>IF(C570&lt;0,NA(),(F570-B570)/1000000)</x:f>
        <x:v>0.087524</x:v>
      </x:c>
      <x:c r="L570" s="39" t="n">
        <x:f>IF(C570&lt;0,1,IF(OR(G570=0,H570=0,I570=0,F570-B570&gt;100000000),1,0))</x:f>
        <x:v>0</x:v>
      </x:c>
      <x:c r="M570" s="39" t="n">
        <x:f>IF(C570&lt;0,1,0)</x:f>
        <x:v>0</x:v>
      </x:c>
      <x:c r="N570" s="1"/>
      <x:c r="O570" s="1"/>
      <x:c r="P570" s="1"/>
      <x:c r="Q570" s="1"/>
      <x:c r="R570" s="1"/>
    </x:row>
    <x:row r="571" ht="22" customHeight="1">
      <x:c r="A571" s="39" t="n">
        <x:v>525</x:v>
      </x:c>
      <x:c r="B571" s="39" t="n">
        <x:v>52500000000</x:v>
      </x:c>
      <x:c r="C571" s="39" t="n">
        <x:v>52500053514</x:v>
      </x:c>
      <x:c r="D571" s="39" t="n">
        <x:v>52500065514</x:v>
      </x:c>
      <x:c r="E571" s="39" t="n">
        <x:v>52500077810</x:v>
      </x:c>
      <x:c r="F571" s="39" t="n">
        <x:v>52500087310</x:v>
      </x:c>
      <x:c r="G571" s="39" t="n">
        <x:v>1</x:v>
      </x:c>
      <x:c r="H571" s="39" t="n">
        <x:v>1</x:v>
      </x:c>
      <x:c r="I571" s="39" t="n">
        <x:v>1</x:v>
      </x:c>
      <x:c r="J571" s="40" t="n">
        <x:f>B571/1000000000</x:f>
        <x:v>52.5</x:v>
      </x:c>
      <x:c r="K571" s="41" t="n">
        <x:f>IF(C571&lt;0,NA(),(F571-B571)/1000000)</x:f>
        <x:v>0.08731</x:v>
      </x:c>
      <x:c r="L571" s="39" t="n">
        <x:f>IF(C571&lt;0,1,IF(OR(G571=0,H571=0,I571=0,F571-B571&gt;100000000),1,0))</x:f>
        <x:v>0</x:v>
      </x:c>
      <x:c r="M571" s="39" t="n">
        <x:f>IF(C571&lt;0,1,0)</x:f>
        <x:v>0</x:v>
      </x:c>
      <x:c r="N571" s="1"/>
      <x:c r="O571" s="1"/>
      <x:c r="P571" s="1"/>
      <x:c r="Q571" s="1"/>
      <x:c r="R571" s="1"/>
    </x:row>
    <x:row r="572" ht="22" customHeight="1">
      <x:c r="A572" s="39" t="n">
        <x:v>526</x:v>
      </x:c>
      <x:c r="B572" s="39" t="n">
        <x:v>52600000000</x:v>
      </x:c>
      <x:c r="C572" s="39" t="n">
        <x:v>52600054226</x:v>
      </x:c>
      <x:c r="D572" s="39" t="n">
        <x:v>52600067078</x:v>
      </x:c>
      <x:c r="E572" s="39" t="n">
        <x:v>52600079318</x:v>
      </x:c>
      <x:c r="F572" s="39" t="n">
        <x:v>52600088892</x:v>
      </x:c>
      <x:c r="G572" s="39" t="n">
        <x:v>1</x:v>
      </x:c>
      <x:c r="H572" s="39" t="n">
        <x:v>1</x:v>
      </x:c>
      <x:c r="I572" s="39" t="n">
        <x:v>1</x:v>
      </x:c>
      <x:c r="J572" s="40" t="n">
        <x:f>B572/1000000000</x:f>
        <x:v>52.6</x:v>
      </x:c>
      <x:c r="K572" s="41" t="n">
        <x:f>IF(C572&lt;0,NA(),(F572-B572)/1000000)</x:f>
        <x:v>0.088892</x:v>
      </x:c>
      <x:c r="L572" s="39" t="n">
        <x:f>IF(C572&lt;0,1,IF(OR(G572=0,H572=0,I572=0,F572-B572&gt;100000000),1,0))</x:f>
        <x:v>0</x:v>
      </x:c>
      <x:c r="M572" s="39" t="n">
        <x:f>IF(C572&lt;0,1,0)</x:f>
        <x:v>0</x:v>
      </x:c>
      <x:c r="N572" s="1"/>
      <x:c r="O572" s="1"/>
      <x:c r="P572" s="1"/>
      <x:c r="Q572" s="1"/>
      <x:c r="R572" s="1"/>
    </x:row>
    <x:row r="573" ht="22" customHeight="1">
      <x:c r="A573" s="39" t="n">
        <x:v>527</x:v>
      </x:c>
      <x:c r="B573" s="39" t="n">
        <x:v>52700000000</x:v>
      </x:c>
      <x:c r="C573" s="39" t="n">
        <x:v>52700053827</x:v>
      </x:c>
      <x:c r="D573" s="39" t="n">
        <x:v>52700065975</x:v>
      </x:c>
      <x:c r="E573" s="39" t="n">
        <x:v>52700077549</x:v>
      </x:c>
      <x:c r="F573" s="39" t="n">
        <x:v>52700087290</x:v>
      </x:c>
      <x:c r="G573" s="39" t="n">
        <x:v>1</x:v>
      </x:c>
      <x:c r="H573" s="39" t="n">
        <x:v>1</x:v>
      </x:c>
      <x:c r="I573" s="39" t="n">
        <x:v>1</x:v>
      </x:c>
      <x:c r="J573" s="40" t="n">
        <x:f>B573/1000000000</x:f>
        <x:v>52.7</x:v>
      </x:c>
      <x:c r="K573" s="41" t="n">
        <x:f>IF(C573&lt;0,NA(),(F573-B573)/1000000)</x:f>
        <x:v>0.08729</x:v>
      </x:c>
      <x:c r="L573" s="39" t="n">
        <x:f>IF(C573&lt;0,1,IF(OR(G573=0,H573=0,I573=0,F573-B573&gt;100000000),1,0))</x:f>
        <x:v>0</x:v>
      </x:c>
      <x:c r="M573" s="39" t="n">
        <x:f>IF(C573&lt;0,1,0)</x:f>
        <x:v>0</x:v>
      </x:c>
      <x:c r="N573" s="1"/>
      <x:c r="O573" s="1"/>
      <x:c r="P573" s="1"/>
      <x:c r="Q573" s="1"/>
      <x:c r="R573" s="1"/>
    </x:row>
    <x:row r="574" ht="22" customHeight="1">
      <x:c r="A574" s="39" t="n">
        <x:v>528</x:v>
      </x:c>
      <x:c r="B574" s="39" t="n">
        <x:v>52800000000</x:v>
      </x:c>
      <x:c r="C574" s="39" t="n">
        <x:v>52800057372</x:v>
      </x:c>
      <x:c r="D574" s="39" t="n">
        <x:v>52800104853</x:v>
      </x:c>
      <x:c r="E574" s="39" t="n">
        <x:v>52800138205</x:v>
      </x:c>
      <x:c r="F574" s="39" t="n">
        <x:v>52800148908</x:v>
      </x:c>
      <x:c r="G574" s="39" t="n">
        <x:v>1</x:v>
      </x:c>
      <x:c r="H574" s="39" t="n">
        <x:v>1</x:v>
      </x:c>
      <x:c r="I574" s="39" t="n">
        <x:v>1</x:v>
      </x:c>
      <x:c r="J574" s="40" t="n">
        <x:f>B574/1000000000</x:f>
        <x:v>52.8</x:v>
      </x:c>
      <x:c r="K574" s="41" t="n">
        <x:f>IF(C574&lt;0,NA(),(F574-B574)/1000000)</x:f>
        <x:v>0.148908</x:v>
      </x:c>
      <x:c r="L574" s="39" t="n">
        <x:f>IF(C574&lt;0,1,IF(OR(G574=0,H574=0,I574=0,F574-B574&gt;100000000),1,0))</x:f>
        <x:v>0</x:v>
      </x:c>
      <x:c r="M574" s="39" t="n">
        <x:f>IF(C574&lt;0,1,0)</x:f>
        <x:v>0</x:v>
      </x:c>
      <x:c r="N574" s="1"/>
      <x:c r="O574" s="1"/>
      <x:c r="P574" s="1"/>
      <x:c r="Q574" s="1"/>
      <x:c r="R574" s="1"/>
    </x:row>
    <x:row r="575" ht="22" customHeight="1">
      <x:c r="A575" s="39" t="n">
        <x:v>529</x:v>
      </x:c>
      <x:c r="B575" s="39" t="n">
        <x:v>52900000000</x:v>
      </x:c>
      <x:c r="C575" s="39" t="n">
        <x:v>52900056021</x:v>
      </x:c>
      <x:c r="D575" s="39" t="n">
        <x:v>52900070076</x:v>
      </x:c>
      <x:c r="E575" s="39" t="n">
        <x:v>52900082724</x:v>
      </x:c>
      <x:c r="F575" s="39" t="n">
        <x:v>52900092354</x:v>
      </x:c>
      <x:c r="G575" s="39" t="n">
        <x:v>1</x:v>
      </x:c>
      <x:c r="H575" s="39" t="n">
        <x:v>1</x:v>
      </x:c>
      <x:c r="I575" s="39" t="n">
        <x:v>1</x:v>
      </x:c>
      <x:c r="J575" s="40" t="n">
        <x:f>B575/1000000000</x:f>
        <x:v>52.9</x:v>
      </x:c>
      <x:c r="K575" s="41" t="n">
        <x:f>IF(C575&lt;0,NA(),(F575-B575)/1000000)</x:f>
        <x:v>0.092354</x:v>
      </x:c>
      <x:c r="L575" s="39" t="n">
        <x:f>IF(C575&lt;0,1,IF(OR(G575=0,H575=0,I575=0,F575-B575&gt;100000000),1,0))</x:f>
        <x:v>0</x:v>
      </x:c>
      <x:c r="M575" s="39" t="n">
        <x:f>IF(C575&lt;0,1,0)</x:f>
        <x:v>0</x:v>
      </x:c>
      <x:c r="N575" s="1"/>
      <x:c r="O575" s="1"/>
      <x:c r="P575" s="1"/>
      <x:c r="Q575" s="1"/>
      <x:c r="R575" s="1"/>
    </x:row>
    <x:row r="576" ht="22" customHeight="1">
      <x:c r="A576" s="39" t="n">
        <x:v>530</x:v>
      </x:c>
      <x:c r="B576" s="39" t="n">
        <x:v>53000000000</x:v>
      </x:c>
      <x:c r="C576" s="39" t="n">
        <x:v>53000054203</x:v>
      </x:c>
      <x:c r="D576" s="39" t="n">
        <x:v>53000066685</x:v>
      </x:c>
      <x:c r="E576" s="39" t="n">
        <x:v>53000079073</x:v>
      </x:c>
      <x:c r="F576" s="39" t="n">
        <x:v>53000088888</x:v>
      </x:c>
      <x:c r="G576" s="39" t="n">
        <x:v>1</x:v>
      </x:c>
      <x:c r="H576" s="39" t="n">
        <x:v>1</x:v>
      </x:c>
      <x:c r="I576" s="39" t="n">
        <x:v>1</x:v>
      </x:c>
      <x:c r="J576" s="40" t="n">
        <x:f>B576/1000000000</x:f>
        <x:v>53</x:v>
      </x:c>
      <x:c r="K576" s="41" t="n">
        <x:f>IF(C576&lt;0,NA(),(F576-B576)/1000000)</x:f>
        <x:v>0.088888</x:v>
      </x:c>
      <x:c r="L576" s="39" t="n">
        <x:f>IF(C576&lt;0,1,IF(OR(G576=0,H576=0,I576=0,F576-B576&gt;100000000),1,0))</x:f>
        <x:v>0</x:v>
      </x:c>
      <x:c r="M576" s="39" t="n">
        <x:f>IF(C576&lt;0,1,0)</x:f>
        <x:v>0</x:v>
      </x:c>
      <x:c r="N576" s="1"/>
      <x:c r="O576" s="1"/>
      <x:c r="P576" s="1"/>
      <x:c r="Q576" s="1"/>
      <x:c r="R576" s="1"/>
    </x:row>
    <x:row r="577" ht="22" customHeight="1">
      <x:c r="A577" s="39" t="n">
        <x:v>531</x:v>
      </x:c>
      <x:c r="B577" s="39" t="n">
        <x:v>53100000000</x:v>
      </x:c>
      <x:c r="C577" s="39" t="n">
        <x:v>53100053404</x:v>
      </x:c>
      <x:c r="D577" s="39" t="n">
        <x:v>53100065015</x:v>
      </x:c>
      <x:c r="E577" s="39" t="n">
        <x:v>53100076423</x:v>
      </x:c>
      <x:c r="F577" s="39" t="n">
        <x:v>53100086163</x:v>
      </x:c>
      <x:c r="G577" s="39" t="n">
        <x:v>1</x:v>
      </x:c>
      <x:c r="H577" s="39" t="n">
        <x:v>1</x:v>
      </x:c>
      <x:c r="I577" s="39" t="n">
        <x:v>1</x:v>
      </x:c>
      <x:c r="J577" s="40" t="n">
        <x:f>B577/1000000000</x:f>
        <x:v>53.1</x:v>
      </x:c>
      <x:c r="K577" s="41" t="n">
        <x:f>IF(C577&lt;0,NA(),(F577-B577)/1000000)</x:f>
        <x:v>0.086163</x:v>
      </x:c>
      <x:c r="L577" s="39" t="n">
        <x:f>IF(C577&lt;0,1,IF(OR(G577=0,H577=0,I577=0,F577-B577&gt;100000000),1,0))</x:f>
        <x:v>0</x:v>
      </x:c>
      <x:c r="M577" s="39" t="n">
        <x:f>IF(C577&lt;0,1,0)</x:f>
        <x:v>0</x:v>
      </x:c>
      <x:c r="N577" s="1"/>
      <x:c r="O577" s="1"/>
      <x:c r="P577" s="1"/>
      <x:c r="Q577" s="1"/>
      <x:c r="R577" s="1"/>
    </x:row>
    <x:row r="578" ht="22" customHeight="1">
      <x:c r="A578" s="39" t="n">
        <x:v>532</x:v>
      </x:c>
      <x:c r="B578" s="39" t="n">
        <x:v>53200000000</x:v>
      </x:c>
      <x:c r="C578" s="39" t="n">
        <x:v>53200055254</x:v>
      </x:c>
      <x:c r="D578" s="39" t="n">
        <x:v>53200068753</x:v>
      </x:c>
      <x:c r="E578" s="39" t="n">
        <x:v>53200082049</x:v>
      </x:c>
      <x:c r="F578" s="39" t="n">
        <x:v>53200091790</x:v>
      </x:c>
      <x:c r="G578" s="39" t="n">
        <x:v>1</x:v>
      </x:c>
      <x:c r="H578" s="39" t="n">
        <x:v>1</x:v>
      </x:c>
      <x:c r="I578" s="39" t="n">
        <x:v>1</x:v>
      </x:c>
      <x:c r="J578" s="40" t="n">
        <x:f>B578/1000000000</x:f>
        <x:v>53.2</x:v>
      </x:c>
      <x:c r="K578" s="41" t="n">
        <x:f>IF(C578&lt;0,NA(),(F578-B578)/1000000)</x:f>
        <x:v>0.09179</x:v>
      </x:c>
      <x:c r="L578" s="39" t="n">
        <x:f>IF(C578&lt;0,1,IF(OR(G578=0,H578=0,I578=0,F578-B578&gt;100000000),1,0))</x:f>
        <x:v>0</x:v>
      </x:c>
      <x:c r="M578" s="39" t="n">
        <x:f>IF(C578&lt;0,1,0)</x:f>
        <x:v>0</x:v>
      </x:c>
      <x:c r="N578" s="1"/>
      <x:c r="O578" s="1"/>
      <x:c r="P578" s="1"/>
      <x:c r="Q578" s="1"/>
      <x:c r="R578" s="1"/>
    </x:row>
    <x:row r="579" ht="22" customHeight="1">
      <x:c r="A579" s="39" t="n">
        <x:v>533</x:v>
      </x:c>
      <x:c r="B579" s="39" t="n">
        <x:v>53300000000</x:v>
      </x:c>
      <x:c r="C579" s="39" t="n">
        <x:v>53300053288</x:v>
      </x:c>
      <x:c r="D579" s="39" t="n">
        <x:v>53300065640</x:v>
      </x:c>
      <x:c r="E579" s="39" t="n">
        <x:v>53300078325</x:v>
      </x:c>
      <x:c r="F579" s="39" t="n">
        <x:v>53300087824</x:v>
      </x:c>
      <x:c r="G579" s="39" t="n">
        <x:v>1</x:v>
      </x:c>
      <x:c r="H579" s="39" t="n">
        <x:v>1</x:v>
      </x:c>
      <x:c r="I579" s="39" t="n">
        <x:v>1</x:v>
      </x:c>
      <x:c r="J579" s="40" t="n">
        <x:f>B579/1000000000</x:f>
        <x:v>53.3</x:v>
      </x:c>
      <x:c r="K579" s="41" t="n">
        <x:f>IF(C579&lt;0,NA(),(F579-B579)/1000000)</x:f>
        <x:v>0.087824</x:v>
      </x:c>
      <x:c r="L579" s="39" t="n">
        <x:f>IF(C579&lt;0,1,IF(OR(G579=0,H579=0,I579=0,F579-B579&gt;100000000),1,0))</x:f>
        <x:v>0</x:v>
      </x:c>
      <x:c r="M579" s="39" t="n">
        <x:f>IF(C579&lt;0,1,0)</x:f>
        <x:v>0</x:v>
      </x:c>
      <x:c r="N579" s="1"/>
      <x:c r="O579" s="1"/>
      <x:c r="P579" s="1"/>
      <x:c r="Q579" s="1"/>
      <x:c r="R579" s="1"/>
    </x:row>
    <x:row r="580" ht="22" customHeight="1">
      <x:c r="A580" s="39" t="n">
        <x:v>534</x:v>
      </x:c>
      <x:c r="B580" s="39" t="n">
        <x:v>53400000000</x:v>
      </x:c>
      <x:c r="C580" s="39" t="n">
        <x:v>53400058193</x:v>
      </x:c>
      <x:c r="D580" s="39" t="n">
        <x:v>53400089970</x:v>
      </x:c>
      <x:c r="E580" s="39" t="n">
        <x:v>53400114358</x:v>
      </x:c>
      <x:c r="F580" s="39" t="n">
        <x:v>53400124414</x:v>
      </x:c>
      <x:c r="G580" s="39" t="n">
        <x:v>1</x:v>
      </x:c>
      <x:c r="H580" s="39" t="n">
        <x:v>1</x:v>
      </x:c>
      <x:c r="I580" s="39" t="n">
        <x:v>1</x:v>
      </x:c>
      <x:c r="J580" s="40" t="n">
        <x:f>B580/1000000000</x:f>
        <x:v>53.4</x:v>
      </x:c>
      <x:c r="K580" s="41" t="n">
        <x:f>IF(C580&lt;0,NA(),(F580-B580)/1000000)</x:f>
        <x:v>0.124414</x:v>
      </x:c>
      <x:c r="L580" s="39" t="n">
        <x:f>IF(C580&lt;0,1,IF(OR(G580=0,H580=0,I580=0,F580-B580&gt;100000000),1,0))</x:f>
        <x:v>0</x:v>
      </x:c>
      <x:c r="M580" s="39" t="n">
        <x:f>IF(C580&lt;0,1,0)</x:f>
        <x:v>0</x:v>
      </x:c>
      <x:c r="N580" s="1"/>
      <x:c r="O580" s="1"/>
      <x:c r="P580" s="1"/>
      <x:c r="Q580" s="1"/>
      <x:c r="R580" s="1"/>
    </x:row>
    <x:row r="581" ht="22" customHeight="1">
      <x:c r="A581" s="39" t="n">
        <x:v>535</x:v>
      </x:c>
      <x:c r="B581" s="39" t="n">
        <x:v>53500000000</x:v>
      </x:c>
      <x:c r="C581" s="39" t="n">
        <x:v>53500054116</x:v>
      </x:c>
      <x:c r="D581" s="39" t="n">
        <x:v>53500069986</x:v>
      </x:c>
      <x:c r="E581" s="39" t="n">
        <x:v>53500084671</x:v>
      </x:c>
      <x:c r="F581" s="39" t="n">
        <x:v>53500094282</x:v>
      </x:c>
      <x:c r="G581" s="39" t="n">
        <x:v>1</x:v>
      </x:c>
      <x:c r="H581" s="39" t="n">
        <x:v>1</x:v>
      </x:c>
      <x:c r="I581" s="39" t="n">
        <x:v>1</x:v>
      </x:c>
      <x:c r="J581" s="40" t="n">
        <x:f>B581/1000000000</x:f>
        <x:v>53.5</x:v>
      </x:c>
      <x:c r="K581" s="41" t="n">
        <x:f>IF(C581&lt;0,NA(),(F581-B581)/1000000)</x:f>
        <x:v>0.094282</x:v>
      </x:c>
      <x:c r="L581" s="39" t="n">
        <x:f>IF(C581&lt;0,1,IF(OR(G581=0,H581=0,I581=0,F581-B581&gt;100000000),1,0))</x:f>
        <x:v>0</x:v>
      </x:c>
      <x:c r="M581" s="39" t="n">
        <x:f>IF(C581&lt;0,1,0)</x:f>
        <x:v>0</x:v>
      </x:c>
      <x:c r="N581" s="1"/>
      <x:c r="O581" s="1"/>
      <x:c r="P581" s="1"/>
      <x:c r="Q581" s="1"/>
      <x:c r="R581" s="1"/>
    </x:row>
    <x:row r="582" ht="22" customHeight="1">
      <x:c r="A582" s="39" t="n">
        <x:v>536</x:v>
      </x:c>
      <x:c r="B582" s="39" t="n">
        <x:v>53600000000</x:v>
      </x:c>
      <x:c r="C582" s="39" t="n">
        <x:v>53600053336</x:v>
      </x:c>
      <x:c r="D582" s="39" t="n">
        <x:v>53600064595</x:v>
      </x:c>
      <x:c r="E582" s="39" t="n">
        <x:v>53600076131</x:v>
      </x:c>
      <x:c r="F582" s="39" t="n">
        <x:v>53600085520</x:v>
      </x:c>
      <x:c r="G582" s="39" t="n">
        <x:v>1</x:v>
      </x:c>
      <x:c r="H582" s="39" t="n">
        <x:v>1</x:v>
      </x:c>
      <x:c r="I582" s="39" t="n">
        <x:v>1</x:v>
      </x:c>
      <x:c r="J582" s="40" t="n">
        <x:f>B582/1000000000</x:f>
        <x:v>53.6</x:v>
      </x:c>
      <x:c r="K582" s="41" t="n">
        <x:f>IF(C582&lt;0,NA(),(F582-B582)/1000000)</x:f>
        <x:v>0.08552</x:v>
      </x:c>
      <x:c r="L582" s="39" t="n">
        <x:f>IF(C582&lt;0,1,IF(OR(G582=0,H582=0,I582=0,F582-B582&gt;100000000),1,0))</x:f>
        <x:v>0</x:v>
      </x:c>
      <x:c r="M582" s="39" t="n">
        <x:f>IF(C582&lt;0,1,0)</x:f>
        <x:v>0</x:v>
      </x:c>
      <x:c r="N582" s="1"/>
      <x:c r="O582" s="1"/>
      <x:c r="P582" s="1"/>
      <x:c r="Q582" s="1"/>
      <x:c r="R582" s="1"/>
    </x:row>
    <x:row r="583" ht="22" customHeight="1">
      <x:c r="A583" s="39" t="n">
        <x:v>537</x:v>
      </x:c>
      <x:c r="B583" s="39" t="n">
        <x:v>53700000000</x:v>
      </x:c>
      <x:c r="C583" s="39" t="n">
        <x:v>53700053703</x:v>
      </x:c>
      <x:c r="D583" s="39" t="n">
        <x:v>53700064814</x:v>
      </x:c>
      <x:c r="E583" s="39" t="n">
        <x:v>53700077277</x:v>
      </x:c>
      <x:c r="F583" s="39" t="n">
        <x:v>53700086647</x:v>
      </x:c>
      <x:c r="G583" s="39" t="n">
        <x:v>1</x:v>
      </x:c>
      <x:c r="H583" s="39" t="n">
        <x:v>1</x:v>
      </x:c>
      <x:c r="I583" s="39" t="n">
        <x:v>1</x:v>
      </x:c>
      <x:c r="J583" s="40" t="n">
        <x:f>B583/1000000000</x:f>
        <x:v>53.7</x:v>
      </x:c>
      <x:c r="K583" s="41" t="n">
        <x:f>IF(C583&lt;0,NA(),(F583-B583)/1000000)</x:f>
        <x:v>0.086647</x:v>
      </x:c>
      <x:c r="L583" s="39" t="n">
        <x:f>IF(C583&lt;0,1,IF(OR(G583=0,H583=0,I583=0,F583-B583&gt;100000000),1,0))</x:f>
        <x:v>0</x:v>
      </x:c>
      <x:c r="M583" s="39" t="n">
        <x:f>IF(C583&lt;0,1,0)</x:f>
        <x:v>0</x:v>
      </x:c>
      <x:c r="N583" s="1"/>
      <x:c r="O583" s="1"/>
      <x:c r="P583" s="1"/>
      <x:c r="Q583" s="1"/>
      <x:c r="R583" s="1"/>
    </x:row>
    <x:row r="584" ht="22" customHeight="1">
      <x:c r="A584" s="39" t="n">
        <x:v>538</x:v>
      </x:c>
      <x:c r="B584" s="39" t="n">
        <x:v>53800000000</x:v>
      </x:c>
      <x:c r="C584" s="39" t="n">
        <x:v>53800053978</x:v>
      </x:c>
      <x:c r="D584" s="39" t="n">
        <x:v>53800065756</x:v>
      </x:c>
      <x:c r="E584" s="39" t="n">
        <x:v>53800077589</x:v>
      </x:c>
      <x:c r="F584" s="39" t="n">
        <x:v>53800087126</x:v>
      </x:c>
      <x:c r="G584" s="39" t="n">
        <x:v>1</x:v>
      </x:c>
      <x:c r="H584" s="39" t="n">
        <x:v>1</x:v>
      </x:c>
      <x:c r="I584" s="39" t="n">
        <x:v>1</x:v>
      </x:c>
      <x:c r="J584" s="40" t="n">
        <x:f>B584/1000000000</x:f>
        <x:v>53.8</x:v>
      </x:c>
      <x:c r="K584" s="41" t="n">
        <x:f>IF(C584&lt;0,NA(),(F584-B584)/1000000)</x:f>
        <x:v>0.087126</x:v>
      </x:c>
      <x:c r="L584" s="39" t="n">
        <x:f>IF(C584&lt;0,1,IF(OR(G584=0,H584=0,I584=0,F584-B584&gt;100000000),1,0))</x:f>
        <x:v>0</x:v>
      </x:c>
      <x:c r="M584" s="39" t="n">
        <x:f>IF(C584&lt;0,1,0)</x:f>
        <x:v>0</x:v>
      </x:c>
      <x:c r="N584" s="1"/>
      <x:c r="O584" s="1"/>
      <x:c r="P584" s="1"/>
      <x:c r="Q584" s="1"/>
      <x:c r="R584" s="1"/>
    </x:row>
    <x:row r="585" ht="22" customHeight="1">
      <x:c r="A585" s="39" t="n">
        <x:v>539</x:v>
      </x:c>
      <x:c r="B585" s="39" t="n">
        <x:v>53900000000</x:v>
      </x:c>
      <x:c r="C585" s="39" t="n">
        <x:v>53900054151</x:v>
      </x:c>
      <x:c r="D585" s="39" t="n">
        <x:v>53900068355</x:v>
      </x:c>
      <x:c r="E585" s="39" t="n">
        <x:v>53900082188</x:v>
      </x:c>
      <x:c r="F585" s="39" t="n">
        <x:v>53900091725</x:v>
      </x:c>
      <x:c r="G585" s="39" t="n">
        <x:v>1</x:v>
      </x:c>
      <x:c r="H585" s="39" t="n">
        <x:v>1</x:v>
      </x:c>
      <x:c r="I585" s="39" t="n">
        <x:v>1</x:v>
      </x:c>
      <x:c r="J585" s="40" t="n">
        <x:f>B585/1000000000</x:f>
        <x:v>53.9</x:v>
      </x:c>
      <x:c r="K585" s="41" t="n">
        <x:f>IF(C585&lt;0,NA(),(F585-B585)/1000000)</x:f>
        <x:v>0.091725</x:v>
      </x:c>
      <x:c r="L585" s="39" t="n">
        <x:f>IF(C585&lt;0,1,IF(OR(G585=0,H585=0,I585=0,F585-B585&gt;100000000),1,0))</x:f>
        <x:v>0</x:v>
      </x:c>
      <x:c r="M585" s="39" t="n">
        <x:f>IF(C585&lt;0,1,0)</x:f>
        <x:v>0</x:v>
      </x:c>
      <x:c r="N585" s="1"/>
      <x:c r="O585" s="1"/>
      <x:c r="P585" s="1"/>
      <x:c r="Q585" s="1"/>
      <x:c r="R585" s="1"/>
    </x:row>
    <x:row r="586" ht="22" customHeight="1">
      <x:c r="A586" s="39" t="n">
        <x:v>540</x:v>
      </x:c>
      <x:c r="B586" s="39" t="n">
        <x:v>54000000000</x:v>
      </x:c>
      <x:c r="C586" s="39" t="n">
        <x:v>54000057432</x:v>
      </x:c>
      <x:c r="D586" s="39" t="n">
        <x:v>54000082006</x:v>
      </x:c>
      <x:c r="E586" s="39" t="n">
        <x:v>54000103209</x:v>
      </x:c>
      <x:c r="F586" s="39" t="n">
        <x:v>54000113135</x:v>
      </x:c>
      <x:c r="G586" s="39" t="n">
        <x:v>1</x:v>
      </x:c>
      <x:c r="H586" s="39" t="n">
        <x:v>1</x:v>
      </x:c>
      <x:c r="I586" s="39" t="n">
        <x:v>1</x:v>
      </x:c>
      <x:c r="J586" s="40" t="n">
        <x:f>B586/1000000000</x:f>
        <x:v>54</x:v>
      </x:c>
      <x:c r="K586" s="41" t="n">
        <x:f>IF(C586&lt;0,NA(),(F586-B586)/1000000)</x:f>
        <x:v>0.113135</x:v>
      </x:c>
      <x:c r="L586" s="39" t="n">
        <x:f>IF(C586&lt;0,1,IF(OR(G586=0,H586=0,I586=0,F586-B586&gt;100000000),1,0))</x:f>
        <x:v>0</x:v>
      </x:c>
      <x:c r="M586" s="39" t="n">
        <x:f>IF(C586&lt;0,1,0)</x:f>
        <x:v>0</x:v>
      </x:c>
      <x:c r="N586" s="1"/>
      <x:c r="O586" s="1"/>
      <x:c r="P586" s="1"/>
      <x:c r="Q586" s="1"/>
      <x:c r="R586" s="1"/>
    </x:row>
    <x:row r="587" ht="22" customHeight="1">
      <x:c r="A587" s="39" t="n">
        <x:v>541</x:v>
      </x:c>
      <x:c r="B587" s="39" t="n">
        <x:v>54100000000</x:v>
      </x:c>
      <x:c r="C587" s="39" t="n">
        <x:v>54100053732</x:v>
      </x:c>
      <x:c r="D587" s="39" t="n">
        <x:v>54100069787</x:v>
      </x:c>
      <x:c r="E587" s="39" t="n">
        <x:v>54100084120</x:v>
      </x:c>
      <x:c r="F587" s="39" t="n">
        <x:v>54100093620</x:v>
      </x:c>
      <x:c r="G587" s="39" t="n">
        <x:v>1</x:v>
      </x:c>
      <x:c r="H587" s="39" t="n">
        <x:v>1</x:v>
      </x:c>
      <x:c r="I587" s="39" t="n">
        <x:v>1</x:v>
      </x:c>
      <x:c r="J587" s="40" t="n">
        <x:f>B587/1000000000</x:f>
        <x:v>54.1</x:v>
      </x:c>
      <x:c r="K587" s="41" t="n">
        <x:f>IF(C587&lt;0,NA(),(F587-B587)/1000000)</x:f>
        <x:v>0.09362</x:v>
      </x:c>
      <x:c r="L587" s="39" t="n">
        <x:f>IF(C587&lt;0,1,IF(OR(G587=0,H587=0,I587=0,F587-B587&gt;100000000),1,0))</x:f>
        <x:v>0</x:v>
      </x:c>
      <x:c r="M587" s="39" t="n">
        <x:f>IF(C587&lt;0,1,0)</x:f>
        <x:v>0</x:v>
      </x:c>
      <x:c r="N587" s="1"/>
      <x:c r="O587" s="1"/>
      <x:c r="P587" s="1"/>
      <x:c r="Q587" s="1"/>
      <x:c r="R587" s="1"/>
    </x:row>
    <x:row r="588" ht="22" customHeight="1">
      <x:c r="A588" s="39" t="n">
        <x:v>542</x:v>
      </x:c>
      <x:c r="B588" s="39" t="n">
        <x:v>54200000000</x:v>
      </x:c>
      <x:c r="C588" s="39" t="n">
        <x:v>54200055253</x:v>
      </x:c>
      <x:c r="D588" s="39" t="n">
        <x:v>54200067457</x:v>
      </x:c>
      <x:c r="E588" s="39" t="n">
        <x:v>54200080420</x:v>
      </x:c>
      <x:c r="F588" s="39" t="n">
        <x:v>54200089975</x:v>
      </x:c>
      <x:c r="G588" s="39" t="n">
        <x:v>1</x:v>
      </x:c>
      <x:c r="H588" s="39" t="n">
        <x:v>1</x:v>
      </x:c>
      <x:c r="I588" s="39" t="n">
        <x:v>1</x:v>
      </x:c>
      <x:c r="J588" s="40" t="n">
        <x:f>B588/1000000000</x:f>
        <x:v>54.2</x:v>
      </x:c>
      <x:c r="K588" s="41" t="n">
        <x:f>IF(C588&lt;0,NA(),(F588-B588)/1000000)</x:f>
        <x:v>0.089975</x:v>
      </x:c>
      <x:c r="L588" s="39" t="n">
        <x:f>IF(C588&lt;0,1,IF(OR(G588=0,H588=0,I588=0,F588-B588&gt;100000000),1,0))</x:f>
        <x:v>0</x:v>
      </x:c>
      <x:c r="M588" s="39" t="n">
        <x:f>IF(C588&lt;0,1,0)</x:f>
        <x:v>0</x:v>
      </x:c>
      <x:c r="N588" s="1"/>
      <x:c r="O588" s="1"/>
      <x:c r="P588" s="1"/>
      <x:c r="Q588" s="1"/>
      <x:c r="R588" s="1"/>
    </x:row>
    <x:row r="589" ht="22" customHeight="1">
      <x:c r="A589" s="39" t="n">
        <x:v>543</x:v>
      </x:c>
      <x:c r="B589" s="39" t="n">
        <x:v>54300000000</x:v>
      </x:c>
      <x:c r="C589" s="39" t="n">
        <x:v>54300053719</x:v>
      </x:c>
      <x:c r="D589" s="39" t="n">
        <x:v>54300066923</x:v>
      </x:c>
      <x:c r="E589" s="39" t="n">
        <x:v>54300079219</x:v>
      </x:c>
      <x:c r="F589" s="39" t="n">
        <x:v>54300088645</x:v>
      </x:c>
      <x:c r="G589" s="39" t="n">
        <x:v>1</x:v>
      </x:c>
      <x:c r="H589" s="39" t="n">
        <x:v>1</x:v>
      </x:c>
      <x:c r="I589" s="39" t="n">
        <x:v>1</x:v>
      </x:c>
      <x:c r="J589" s="40" t="n">
        <x:f>B589/1000000000</x:f>
        <x:v>54.3</x:v>
      </x:c>
      <x:c r="K589" s="41" t="n">
        <x:f>IF(C589&lt;0,NA(),(F589-B589)/1000000)</x:f>
        <x:v>0.088645</x:v>
      </x:c>
      <x:c r="L589" s="39" t="n">
        <x:f>IF(C589&lt;0,1,IF(OR(G589=0,H589=0,I589=0,F589-B589&gt;100000000),1,0))</x:f>
        <x:v>0</x:v>
      </x:c>
      <x:c r="M589" s="39" t="n">
        <x:f>IF(C589&lt;0,1,0)</x:f>
        <x:v>0</x:v>
      </x:c>
      <x:c r="N589" s="1"/>
      <x:c r="O589" s="1"/>
      <x:c r="P589" s="1"/>
      <x:c r="Q589" s="1"/>
      <x:c r="R589" s="1"/>
    </x:row>
    <x:row r="590" ht="22" customHeight="1">
      <x:c r="A590" s="39" t="n">
        <x:v>544</x:v>
      </x:c>
      <x:c r="B590" s="39" t="n">
        <x:v>54400000000</x:v>
      </x:c>
      <x:c r="C590" s="39" t="n">
        <x:v>54400053389</x:v>
      </x:c>
      <x:c r="D590" s="39" t="n">
        <x:v>54400063908</x:v>
      </x:c>
      <x:c r="E590" s="39" t="n">
        <x:v>54400074407</x:v>
      </x:c>
      <x:c r="F590" s="39" t="n">
        <x:v>54400084370</x:v>
      </x:c>
      <x:c r="G590" s="39" t="n">
        <x:v>1</x:v>
      </x:c>
      <x:c r="H590" s="39" t="n">
        <x:v>1</x:v>
      </x:c>
      <x:c r="I590" s="39" t="n">
        <x:v>1</x:v>
      </x:c>
      <x:c r="J590" s="40" t="n">
        <x:f>B590/1000000000</x:f>
        <x:v>54.4</x:v>
      </x:c>
      <x:c r="K590" s="41" t="n">
        <x:f>IF(C590&lt;0,NA(),(F590-B590)/1000000)</x:f>
        <x:v>0.08437</x:v>
      </x:c>
      <x:c r="L590" s="39" t="n">
        <x:f>IF(C590&lt;0,1,IF(OR(G590=0,H590=0,I590=0,F590-B590&gt;100000000),1,0))</x:f>
        <x:v>0</x:v>
      </x:c>
      <x:c r="M590" s="39" t="n">
        <x:f>IF(C590&lt;0,1,0)</x:f>
        <x:v>0</x:v>
      </x:c>
      <x:c r="N590" s="1"/>
      <x:c r="O590" s="1"/>
      <x:c r="P590" s="1"/>
      <x:c r="Q590" s="1"/>
      <x:c r="R590" s="1"/>
    </x:row>
    <x:row r="591" ht="22" customHeight="1">
      <x:c r="A591" s="39" t="n">
        <x:v>545</x:v>
      </x:c>
      <x:c r="B591" s="39" t="n">
        <x:v>54500000000</x:v>
      </x:c>
      <x:c r="C591" s="39" t="n">
        <x:v>54500056429</x:v>
      </x:c>
      <x:c r="D591" s="39" t="n">
        <x:v>54500091929</x:v>
      </x:c>
      <x:c r="E591" s="39" t="n">
        <x:v>54500116521</x:v>
      </x:c>
      <x:c r="F591" s="39" t="n">
        <x:v>54500126854</x:v>
      </x:c>
      <x:c r="G591" s="39" t="n">
        <x:v>1</x:v>
      </x:c>
      <x:c r="H591" s="39" t="n">
        <x:v>1</x:v>
      </x:c>
      <x:c r="I591" s="39" t="n">
        <x:v>1</x:v>
      </x:c>
      <x:c r="J591" s="40" t="n">
        <x:f>B591/1000000000</x:f>
        <x:v>54.5</x:v>
      </x:c>
      <x:c r="K591" s="41" t="n">
        <x:f>IF(C591&lt;0,NA(),(F591-B591)/1000000)</x:f>
        <x:v>0.126854</x:v>
      </x:c>
      <x:c r="L591" s="39" t="n">
        <x:f>IF(C591&lt;0,1,IF(OR(G591=0,H591=0,I591=0,F591-B591&gt;100000000),1,0))</x:f>
        <x:v>0</x:v>
      </x:c>
      <x:c r="M591" s="39" t="n">
        <x:f>IF(C591&lt;0,1,0)</x:f>
        <x:v>0</x:v>
      </x:c>
      <x:c r="N591" s="1"/>
      <x:c r="O591" s="1"/>
      <x:c r="P591" s="1"/>
      <x:c r="Q591" s="1"/>
      <x:c r="R591" s="1"/>
    </x:row>
    <x:row r="592" ht="22" customHeight="1">
      <x:c r="A592" s="39" t="n">
        <x:v>546</x:v>
      </x:c>
      <x:c r="B592" s="39" t="n">
        <x:v>54600000000</x:v>
      </x:c>
      <x:c r="C592" s="39" t="n">
        <x:v>54600058544</x:v>
      </x:c>
      <x:c r="D592" s="39" t="n">
        <x:v>54600098247</x:v>
      </x:c>
      <x:c r="E592" s="39" t="n">
        <x:v>54600129246</x:v>
      </x:c>
      <x:c r="F592" s="39" t="n">
        <x:v>54600139394</x:v>
      </x:c>
      <x:c r="G592" s="39" t="n">
        <x:v>1</x:v>
      </x:c>
      <x:c r="H592" s="39" t="n">
        <x:v>1</x:v>
      </x:c>
      <x:c r="I592" s="39" t="n">
        <x:v>1</x:v>
      </x:c>
      <x:c r="J592" s="40" t="n">
        <x:f>B592/1000000000</x:f>
        <x:v>54.6</x:v>
      </x:c>
      <x:c r="K592" s="41" t="n">
        <x:f>IF(C592&lt;0,NA(),(F592-B592)/1000000)</x:f>
        <x:v>0.139394</x:v>
      </x:c>
      <x:c r="L592" s="39" t="n">
        <x:f>IF(C592&lt;0,1,IF(OR(G592=0,H592=0,I592=0,F592-B592&gt;100000000),1,0))</x:f>
        <x:v>0</x:v>
      </x:c>
      <x:c r="M592" s="39" t="n">
        <x:f>IF(C592&lt;0,1,0)</x:f>
        <x:v>0</x:v>
      </x:c>
      <x:c r="N592" s="1"/>
      <x:c r="O592" s="1"/>
      <x:c r="P592" s="1"/>
      <x:c r="Q592" s="1"/>
      <x:c r="R592" s="1"/>
    </x:row>
    <x:row r="593" ht="22" customHeight="1">
      <x:c r="A593" s="39" t="n">
        <x:v>547</x:v>
      </x:c>
      <x:c r="B593" s="39" t="n">
        <x:v>54700000000</x:v>
      </x:c>
      <x:c r="C593" s="39" t="n">
        <x:v>54700053936</x:v>
      </x:c>
      <x:c r="D593" s="39" t="n">
        <x:v>54700065547</x:v>
      </x:c>
      <x:c r="E593" s="39" t="n">
        <x:v>54700076787</x:v>
      </x:c>
      <x:c r="F593" s="39" t="n">
        <x:v>54700086269</x:v>
      </x:c>
      <x:c r="G593" s="39" t="n">
        <x:v>1</x:v>
      </x:c>
      <x:c r="H593" s="39" t="n">
        <x:v>1</x:v>
      </x:c>
      <x:c r="I593" s="39" t="n">
        <x:v>1</x:v>
      </x:c>
      <x:c r="J593" s="40" t="n">
        <x:f>B593/1000000000</x:f>
        <x:v>54.7</x:v>
      </x:c>
      <x:c r="K593" s="41" t="n">
        <x:f>IF(C593&lt;0,NA(),(F593-B593)/1000000)</x:f>
        <x:v>0.086269</x:v>
      </x:c>
      <x:c r="L593" s="39" t="n">
        <x:f>IF(C593&lt;0,1,IF(OR(G593=0,H593=0,I593=0,F593-B593&gt;100000000),1,0))</x:f>
        <x:v>0</x:v>
      </x:c>
      <x:c r="M593" s="39" t="n">
        <x:f>IF(C593&lt;0,1,0)</x:f>
        <x:v>0</x:v>
      </x:c>
      <x:c r="N593" s="1"/>
      <x:c r="O593" s="1"/>
      <x:c r="P593" s="1"/>
      <x:c r="Q593" s="1"/>
      <x:c r="R593" s="1"/>
    </x:row>
    <x:row r="594" ht="22" customHeight="1">
      <x:c r="A594" s="39" t="n">
        <x:v>548</x:v>
      </x:c>
      <x:c r="B594" s="39" t="n">
        <x:v>54800000000</x:v>
      </x:c>
      <x:c r="C594" s="39" t="n">
        <x:v>54800054013</x:v>
      </x:c>
      <x:c r="D594" s="39" t="n">
        <x:v>54800068420</x:v>
      </x:c>
      <x:c r="E594" s="39" t="n">
        <x:v>54800082994</x:v>
      </x:c>
      <x:c r="F594" s="39" t="n">
        <x:v>54800092827</x:v>
      </x:c>
      <x:c r="G594" s="39" t="n">
        <x:v>1</x:v>
      </x:c>
      <x:c r="H594" s="39" t="n">
        <x:v>1</x:v>
      </x:c>
      <x:c r="I594" s="39" t="n">
        <x:v>1</x:v>
      </x:c>
      <x:c r="J594" s="40" t="n">
        <x:f>B594/1000000000</x:f>
        <x:v>54.8</x:v>
      </x:c>
      <x:c r="K594" s="41" t="n">
        <x:f>IF(C594&lt;0,NA(),(F594-B594)/1000000)</x:f>
        <x:v>0.092827</x:v>
      </x:c>
      <x:c r="L594" s="39" t="n">
        <x:f>IF(C594&lt;0,1,IF(OR(G594=0,H594=0,I594=0,F594-B594&gt;100000000),1,0))</x:f>
        <x:v>0</x:v>
      </x:c>
      <x:c r="M594" s="39" t="n">
        <x:f>IF(C594&lt;0,1,0)</x:f>
        <x:v>0</x:v>
      </x:c>
      <x:c r="N594" s="1"/>
      <x:c r="O594" s="1"/>
      <x:c r="P594" s="1"/>
      <x:c r="Q594" s="1"/>
      <x:c r="R594" s="1"/>
    </x:row>
    <x:row r="595" ht="22" customHeight="1">
      <x:c r="A595" s="39" t="n">
        <x:v>549</x:v>
      </x:c>
      <x:c r="B595" s="39" t="n">
        <x:v>54900000000</x:v>
      </x:c>
      <x:c r="C595" s="39" t="n">
        <x:v>54900053172</x:v>
      </x:c>
      <x:c r="D595" s="39" t="n">
        <x:v>54900063690</x:v>
      </x:c>
      <x:c r="E595" s="39" t="n">
        <x:v>54900074061</x:v>
      </x:c>
      <x:c r="F595" s="39" t="n">
        <x:v>54900083468</x:v>
      </x:c>
      <x:c r="G595" s="39" t="n">
        <x:v>1</x:v>
      </x:c>
      <x:c r="H595" s="39" t="n">
        <x:v>1</x:v>
      </x:c>
      <x:c r="I595" s="39" t="n">
        <x:v>1</x:v>
      </x:c>
      <x:c r="J595" s="40" t="n">
        <x:f>B595/1000000000</x:f>
        <x:v>54.9</x:v>
      </x:c>
      <x:c r="K595" s="41" t="n">
        <x:f>IF(C595&lt;0,NA(),(F595-B595)/1000000)</x:f>
        <x:v>0.083468</x:v>
      </x:c>
      <x:c r="L595" s="39" t="n">
        <x:f>IF(C595&lt;0,1,IF(OR(G595=0,H595=0,I595=0,F595-B595&gt;100000000),1,0))</x:f>
        <x:v>0</x:v>
      </x:c>
      <x:c r="M595" s="39" t="n">
        <x:f>IF(C595&lt;0,1,0)</x:f>
        <x:v>0</x:v>
      </x:c>
      <x:c r="N595" s="1"/>
      <x:c r="O595" s="1"/>
      <x:c r="P595" s="1"/>
      <x:c r="Q595" s="1"/>
      <x:c r="R595" s="1"/>
    </x:row>
    <x:row r="596" ht="22" customHeight="1">
      <x:c r="A596" s="39" t="n">
        <x:v>550</x:v>
      </x:c>
      <x:c r="B596" s="39" t="n">
        <x:v>55000000000</x:v>
      </x:c>
      <x:c r="C596" s="39" t="n">
        <x:v>55000054791</x:v>
      </x:c>
      <x:c r="D596" s="39" t="n">
        <x:v>55000068161</x:v>
      </x:c>
      <x:c r="E596" s="39" t="n">
        <x:v>55000082772</x:v>
      </x:c>
      <x:c r="F596" s="39" t="n">
        <x:v>55000092438</x:v>
      </x:c>
      <x:c r="G596" s="39" t="n">
        <x:v>1</x:v>
      </x:c>
      <x:c r="H596" s="39" t="n">
        <x:v>1</x:v>
      </x:c>
      <x:c r="I596" s="39" t="n">
        <x:v>1</x:v>
      </x:c>
      <x:c r="J596" s="40" t="n">
        <x:f>B596/1000000000</x:f>
        <x:v>55</x:v>
      </x:c>
      <x:c r="K596" s="41" t="n">
        <x:f>IF(C596&lt;0,NA(),(F596-B596)/1000000)</x:f>
        <x:v>0.092438</x:v>
      </x:c>
      <x:c r="L596" s="39" t="n">
        <x:f>IF(C596&lt;0,1,IF(OR(G596=0,H596=0,I596=0,F596-B596&gt;100000000),1,0))</x:f>
        <x:v>0</x:v>
      </x:c>
      <x:c r="M596" s="39" t="n">
        <x:f>IF(C596&lt;0,1,0)</x:f>
        <x:v>0</x:v>
      </x:c>
      <x:c r="N596" s="1"/>
      <x:c r="O596" s="1"/>
      <x:c r="P596" s="1"/>
      <x:c r="Q596" s="1"/>
      <x:c r="R596" s="1"/>
    </x:row>
    <x:row r="597" ht="22" customHeight="1">
      <x:c r="A597" s="39" t="n">
        <x:v>551</x:v>
      </x:c>
      <x:c r="B597" s="39" t="n">
        <x:v>55100000000</x:v>
      </x:c>
      <x:c r="C597" s="39" t="n">
        <x:v>55100053742</x:v>
      </x:c>
      <x:c r="D597" s="39" t="n">
        <x:v>55100065427</x:v>
      </x:c>
      <x:c r="E597" s="39" t="n">
        <x:v>55100077409</x:v>
      </x:c>
      <x:c r="F597" s="39" t="n">
        <x:v>55100086816</x:v>
      </x:c>
      <x:c r="G597" s="39" t="n">
        <x:v>1</x:v>
      </x:c>
      <x:c r="H597" s="39" t="n">
        <x:v>1</x:v>
      </x:c>
      <x:c r="I597" s="39" t="n">
        <x:v>1</x:v>
      </x:c>
      <x:c r="J597" s="40" t="n">
        <x:f>B597/1000000000</x:f>
        <x:v>55.1</x:v>
      </x:c>
      <x:c r="K597" s="41" t="n">
        <x:f>IF(C597&lt;0,NA(),(F597-B597)/1000000)</x:f>
        <x:v>0.086816</x:v>
      </x:c>
      <x:c r="L597" s="39" t="n">
        <x:f>IF(C597&lt;0,1,IF(OR(G597=0,H597=0,I597=0,F597-B597&gt;100000000),1,0))</x:f>
        <x:v>0</x:v>
      </x:c>
      <x:c r="M597" s="39" t="n">
        <x:f>IF(C597&lt;0,1,0)</x:f>
        <x:v>0</x:v>
      </x:c>
      <x:c r="N597" s="1"/>
      <x:c r="O597" s="1"/>
      <x:c r="P597" s="1"/>
      <x:c r="Q597" s="1"/>
      <x:c r="R597" s="1"/>
    </x:row>
    <x:row r="598" ht="22" customHeight="1">
      <x:c r="A598" s="39" t="n">
        <x:v>552</x:v>
      </x:c>
      <x:c r="B598" s="39" t="n">
        <x:v>55200000000</x:v>
      </x:c>
      <x:c r="C598" s="39" t="n">
        <x:v>55200059472</x:v>
      </x:c>
      <x:c r="D598" s="39" t="n">
        <x:v>55200089009</x:v>
      </x:c>
      <x:c r="E598" s="39" t="n">
        <x:v>55200114101</x:v>
      </x:c>
      <x:c r="F598" s="39" t="n">
        <x:v>55200124767</x:v>
      </x:c>
      <x:c r="G598" s="39" t="n">
        <x:v>1</x:v>
      </x:c>
      <x:c r="H598" s="39" t="n">
        <x:v>1</x:v>
      </x:c>
      <x:c r="I598" s="39" t="n">
        <x:v>1</x:v>
      </x:c>
      <x:c r="J598" s="40" t="n">
        <x:f>B598/1000000000</x:f>
        <x:v>55.2</x:v>
      </x:c>
      <x:c r="K598" s="41" t="n">
        <x:f>IF(C598&lt;0,NA(),(F598-B598)/1000000)</x:f>
        <x:v>0.124767</x:v>
      </x:c>
      <x:c r="L598" s="39" t="n">
        <x:f>IF(C598&lt;0,1,IF(OR(G598=0,H598=0,I598=0,F598-B598&gt;100000000),1,0))</x:f>
        <x:v>0</x:v>
      </x:c>
      <x:c r="M598" s="39" t="n">
        <x:f>IF(C598&lt;0,1,0)</x:f>
        <x:v>0</x:v>
      </x:c>
      <x:c r="N598" s="1"/>
      <x:c r="O598" s="1"/>
      <x:c r="P598" s="1"/>
      <x:c r="Q598" s="1"/>
      <x:c r="R598" s="1"/>
    </x:row>
    <x:row r="599" ht="22" customHeight="1">
      <x:c r="A599" s="39" t="n">
        <x:v>553</x:v>
      </x:c>
      <x:c r="B599" s="39" t="n">
        <x:v>55300000000</x:v>
      </x:c>
      <x:c r="C599" s="39" t="n">
        <x:v>55300055257</x:v>
      </x:c>
      <x:c r="D599" s="39" t="n">
        <x:v>55300072202</x:v>
      </x:c>
      <x:c r="E599" s="39" t="n">
        <x:v>55300086886</x:v>
      </x:c>
      <x:c r="F599" s="39" t="n">
        <x:v>55300096757</x:v>
      </x:c>
      <x:c r="G599" s="39" t="n">
        <x:v>1</x:v>
      </x:c>
      <x:c r="H599" s="39" t="n">
        <x:v>1</x:v>
      </x:c>
      <x:c r="I599" s="39" t="n">
        <x:v>1</x:v>
      </x:c>
      <x:c r="J599" s="40" t="n">
        <x:f>B599/1000000000</x:f>
        <x:v>55.3</x:v>
      </x:c>
      <x:c r="K599" s="41" t="n">
        <x:f>IF(C599&lt;0,NA(),(F599-B599)/1000000)</x:f>
        <x:v>0.096757</x:v>
      </x:c>
      <x:c r="L599" s="39" t="n">
        <x:f>IF(C599&lt;0,1,IF(OR(G599=0,H599=0,I599=0,F599-B599&gt;100000000),1,0))</x:f>
        <x:v>0</x:v>
      </x:c>
      <x:c r="M599" s="39" t="n">
        <x:f>IF(C599&lt;0,1,0)</x:f>
        <x:v>0</x:v>
      </x:c>
      <x:c r="N599" s="1"/>
      <x:c r="O599" s="1"/>
      <x:c r="P599" s="1"/>
      <x:c r="Q599" s="1"/>
      <x:c r="R599" s="1"/>
    </x:row>
    <x:row r="600" ht="22" customHeight="1">
      <x:c r="A600" s="39" t="n">
        <x:v>554</x:v>
      </x:c>
      <x:c r="B600" s="39" t="n">
        <x:v>55400000000</x:v>
      </x:c>
      <x:c r="C600" s="39" t="n">
        <x:v>55400054450</x:v>
      </x:c>
      <x:c r="D600" s="39" t="n">
        <x:v>55400063116</x:v>
      </x:c>
      <x:c r="E600" s="39" t="n">
        <x:v>55400071968</x:v>
      </x:c>
      <x:c r="F600" s="39" t="n">
        <x:v>55400081338</x:v>
      </x:c>
      <x:c r="G600" s="39" t="n">
        <x:v>1</x:v>
      </x:c>
      <x:c r="H600" s="39" t="n">
        <x:v>1</x:v>
      </x:c>
      <x:c r="I600" s="39" t="n">
        <x:v>1</x:v>
      </x:c>
      <x:c r="J600" s="40" t="n">
        <x:f>B600/1000000000</x:f>
        <x:v>55.4</x:v>
      </x:c>
      <x:c r="K600" s="41" t="n">
        <x:f>IF(C600&lt;0,NA(),(F600-B600)/1000000)</x:f>
        <x:v>0.081338</x:v>
      </x:c>
      <x:c r="L600" s="39" t="n">
        <x:f>IF(C600&lt;0,1,IF(OR(G600=0,H600=0,I600=0,F600-B600&gt;100000000),1,0))</x:f>
        <x:v>0</x:v>
      </x:c>
      <x:c r="M600" s="39" t="n">
        <x:f>IF(C600&lt;0,1,0)</x:f>
        <x:v>0</x:v>
      </x:c>
      <x:c r="N600" s="1"/>
      <x:c r="O600" s="1"/>
      <x:c r="P600" s="1"/>
      <x:c r="Q600" s="1"/>
      <x:c r="R600" s="1"/>
    </x:row>
    <x:row r="601" ht="22" customHeight="1">
      <x:c r="A601" s="39" t="n">
        <x:v>555</x:v>
      </x:c>
      <x:c r="B601" s="39" t="n">
        <x:v>55500000000</x:v>
      </x:c>
      <x:c r="C601" s="39" t="n">
        <x:v>55500055013</x:v>
      </x:c>
      <x:c r="D601" s="39" t="n">
        <x:v>55500069902</x:v>
      </x:c>
      <x:c r="E601" s="39" t="n">
        <x:v>55500084475</x:v>
      </x:c>
      <x:c r="F601" s="39" t="n">
        <x:v>55500094198</x:v>
      </x:c>
      <x:c r="G601" s="39" t="n">
        <x:v>1</x:v>
      </x:c>
      <x:c r="H601" s="39" t="n">
        <x:v>1</x:v>
      </x:c>
      <x:c r="I601" s="39" t="n">
        <x:v>1</x:v>
      </x:c>
      <x:c r="J601" s="40" t="n">
        <x:f>B601/1000000000</x:f>
        <x:v>55.5</x:v>
      </x:c>
      <x:c r="K601" s="41" t="n">
        <x:f>IF(C601&lt;0,NA(),(F601-B601)/1000000)</x:f>
        <x:v>0.094198</x:v>
      </x:c>
      <x:c r="L601" s="39" t="n">
        <x:f>IF(C601&lt;0,1,IF(OR(G601=0,H601=0,I601=0,F601-B601&gt;100000000),1,0))</x:f>
        <x:v>0</x:v>
      </x:c>
      <x:c r="M601" s="39" t="n">
        <x:f>IF(C601&lt;0,1,0)</x:f>
        <x:v>0</x:v>
      </x:c>
      <x:c r="N601" s="1"/>
      <x:c r="O601" s="1"/>
      <x:c r="P601" s="1"/>
      <x:c r="Q601" s="1"/>
      <x:c r="R601" s="1"/>
    </x:row>
    <x:row r="602" ht="22" customHeight="1">
      <x:c r="A602" s="39" t="n">
        <x:v>556</x:v>
      </x:c>
      <x:c r="B602" s="39" t="n">
        <x:v>55600000000</x:v>
      </x:c>
      <x:c r="C602" s="39" t="n">
        <x:v>55600054150</x:v>
      </x:c>
      <x:c r="D602" s="39" t="n">
        <x:v>55600062205</x:v>
      </x:c>
      <x:c r="E602" s="39" t="n">
        <x:v>55600070409</x:v>
      </x:c>
      <x:c r="F602" s="39" t="n">
        <x:v>55600079909</x:v>
      </x:c>
      <x:c r="G602" s="39" t="n">
        <x:v>1</x:v>
      </x:c>
      <x:c r="H602" s="39" t="n">
        <x:v>1</x:v>
      </x:c>
      <x:c r="I602" s="39" t="n">
        <x:v>1</x:v>
      </x:c>
      <x:c r="J602" s="40" t="n">
        <x:f>B602/1000000000</x:f>
        <x:v>55.6</x:v>
      </x:c>
      <x:c r="K602" s="41" t="n">
        <x:f>IF(C602&lt;0,NA(),(F602-B602)/1000000)</x:f>
        <x:v>0.079909</x:v>
      </x:c>
      <x:c r="L602" s="39" t="n">
        <x:f>IF(C602&lt;0,1,IF(OR(G602=0,H602=0,I602=0,F602-B602&gt;100000000),1,0))</x:f>
        <x:v>0</x:v>
      </x:c>
      <x:c r="M602" s="39" t="n">
        <x:f>IF(C602&lt;0,1,0)</x:f>
        <x:v>0</x:v>
      </x:c>
      <x:c r="N602" s="1"/>
      <x:c r="O602" s="1"/>
      <x:c r="P602" s="1"/>
      <x:c r="Q602" s="1"/>
      <x:c r="R602" s="1"/>
    </x:row>
    <x:row r="603" ht="22" customHeight="1">
      <x:c r="A603" s="39" t="n">
        <x:v>557</x:v>
      </x:c>
      <x:c r="B603" s="39" t="n">
        <x:v>55700000000</x:v>
      </x:c>
      <x:c r="C603" s="39" t="n">
        <x:v>55700053232</x:v>
      </x:c>
      <x:c r="D603" s="39" t="n">
        <x:v>55700059657</x:v>
      </x:c>
      <x:c r="E603" s="39" t="n">
        <x:v>55700067805</x:v>
      </x:c>
      <x:c r="F603" s="39" t="n">
        <x:v>55700077139</x:v>
      </x:c>
      <x:c r="G603" s="39" t="n">
        <x:v>1</x:v>
      </x:c>
      <x:c r="H603" s="39" t="n">
        <x:v>1</x:v>
      </x:c>
      <x:c r="I603" s="39" t="n">
        <x:v>1</x:v>
      </x:c>
      <x:c r="J603" s="40" t="n">
        <x:f>B603/1000000000</x:f>
        <x:v>55.7</x:v>
      </x:c>
      <x:c r="K603" s="41" t="n">
        <x:f>IF(C603&lt;0,NA(),(F603-B603)/1000000)</x:f>
        <x:v>0.077139</x:v>
      </x:c>
      <x:c r="L603" s="39" t="n">
        <x:f>IF(C603&lt;0,1,IF(OR(G603=0,H603=0,I603=0,F603-B603&gt;100000000),1,0))</x:f>
        <x:v>0</x:v>
      </x:c>
      <x:c r="M603" s="39" t="n">
        <x:f>IF(C603&lt;0,1,0)</x:f>
        <x:v>0</x:v>
      </x:c>
      <x:c r="N603" s="1"/>
      <x:c r="O603" s="1"/>
      <x:c r="P603" s="1"/>
      <x:c r="Q603" s="1"/>
      <x:c r="R603" s="1"/>
    </x:row>
    <x:row r="604" ht="22" customHeight="1">
      <x:c r="A604" s="39" t="n">
        <x:v>558</x:v>
      </x:c>
      <x:c r="B604" s="39" t="n">
        <x:v>55800000000</x:v>
      </x:c>
      <x:c r="C604" s="39" t="n">
        <x:v>55800057906</x:v>
      </x:c>
      <x:c r="D604" s="39" t="n">
        <x:v>55800087868</x:v>
      </x:c>
      <x:c r="E604" s="39" t="n">
        <x:v>55800108460</x:v>
      </x:c>
      <x:c r="F604" s="39" t="n">
        <x:v>55800118257</x:v>
      </x:c>
      <x:c r="G604" s="39" t="n">
        <x:v>1</x:v>
      </x:c>
      <x:c r="H604" s="39" t="n">
        <x:v>1</x:v>
      </x:c>
      <x:c r="I604" s="39" t="n">
        <x:v>1</x:v>
      </x:c>
      <x:c r="J604" s="40" t="n">
        <x:f>B604/1000000000</x:f>
        <x:v>55.8</x:v>
      </x:c>
      <x:c r="K604" s="41" t="n">
        <x:f>IF(C604&lt;0,NA(),(F604-B604)/1000000)</x:f>
        <x:v>0.118257</x:v>
      </x:c>
      <x:c r="L604" s="39" t="n">
        <x:f>IF(C604&lt;0,1,IF(OR(G604=0,H604=0,I604=0,F604-B604&gt;100000000),1,0))</x:f>
        <x:v>0</x:v>
      </x:c>
      <x:c r="M604" s="39" t="n">
        <x:f>IF(C604&lt;0,1,0)</x:f>
        <x:v>0</x:v>
      </x:c>
      <x:c r="N604" s="1"/>
      <x:c r="O604" s="1"/>
      <x:c r="P604" s="1"/>
      <x:c r="Q604" s="1"/>
      <x:c r="R604" s="1"/>
    </x:row>
    <x:row r="605" ht="22" customHeight="1">
      <x:c r="A605" s="39" t="n">
        <x:v>559</x:v>
      </x:c>
      <x:c r="B605" s="39" t="n">
        <x:v>55900000000</x:v>
      </x:c>
      <x:c r="C605" s="39" t="n">
        <x:v>55900058790</x:v>
      </x:c>
      <x:c r="D605" s="39" t="n">
        <x:v>55900083753</x:v>
      </x:c>
      <x:c r="E605" s="39" t="n">
        <x:v>55900103271</x:v>
      </x:c>
      <x:c r="F605" s="39" t="n">
        <x:v>55900113567</x:v>
      </x:c>
      <x:c r="G605" s="39" t="n">
        <x:v>1</x:v>
      </x:c>
      <x:c r="H605" s="39" t="n">
        <x:v>1</x:v>
      </x:c>
      <x:c r="I605" s="39" t="n">
        <x:v>1</x:v>
      </x:c>
      <x:c r="J605" s="40" t="n">
        <x:f>B605/1000000000</x:f>
        <x:v>55.9</x:v>
      </x:c>
      <x:c r="K605" s="41" t="n">
        <x:f>IF(C605&lt;0,NA(),(F605-B605)/1000000)</x:f>
        <x:v>0.113567</x:v>
      </x:c>
      <x:c r="L605" s="39" t="n">
        <x:f>IF(C605&lt;0,1,IF(OR(G605=0,H605=0,I605=0,F605-B605&gt;100000000),1,0))</x:f>
        <x:v>0</x:v>
      </x:c>
      <x:c r="M605" s="39" t="n">
        <x:f>IF(C605&lt;0,1,0)</x:f>
        <x:v>0</x:v>
      </x:c>
      <x:c r="N605" s="1"/>
      <x:c r="O605" s="1"/>
      <x:c r="P605" s="1"/>
      <x:c r="Q605" s="1"/>
      <x:c r="R605" s="1"/>
    </x:row>
    <x:row r="606" ht="22" customHeight="1">
      <x:c r="A606" s="39" t="n">
        <x:v>560</x:v>
      </x:c>
      <x:c r="B606" s="39" t="n">
        <x:v>56000000000</x:v>
      </x:c>
      <x:c r="C606" s="39" t="n">
        <x:v>56000053856</x:v>
      </x:c>
      <x:c r="D606" s="39" t="n">
        <x:v>56000066948</x:v>
      </x:c>
      <x:c r="E606" s="39" t="n">
        <x:v>56000080374</x:v>
      </x:c>
      <x:c r="F606" s="39" t="n">
        <x:v>56000089948</x:v>
      </x:c>
      <x:c r="G606" s="39" t="n">
        <x:v>1</x:v>
      </x:c>
      <x:c r="H606" s="39" t="n">
        <x:v>1</x:v>
      </x:c>
      <x:c r="I606" s="39" t="n">
        <x:v>1</x:v>
      </x:c>
      <x:c r="J606" s="40" t="n">
        <x:f>B606/1000000000</x:f>
        <x:v>56</x:v>
      </x:c>
      <x:c r="K606" s="41" t="n">
        <x:f>IF(C606&lt;0,NA(),(F606-B606)/1000000)</x:f>
        <x:v>0.089948</x:v>
      </x:c>
      <x:c r="L606" s="39" t="n">
        <x:f>IF(C606&lt;0,1,IF(OR(G606=0,H606=0,I606=0,F606-B606&gt;100000000),1,0))</x:f>
        <x:v>0</x:v>
      </x:c>
      <x:c r="M606" s="39" t="n">
        <x:f>IF(C606&lt;0,1,0)</x:f>
        <x:v>0</x:v>
      </x:c>
      <x:c r="N606" s="1"/>
      <x:c r="O606" s="1"/>
      <x:c r="P606" s="1"/>
      <x:c r="Q606" s="1"/>
      <x:c r="R606" s="1"/>
    </x:row>
    <x:row r="607" ht="22" customHeight="1">
      <x:c r="A607" s="39" t="n">
        <x:v>561</x:v>
      </x:c>
      <x:c r="B607" s="39" t="n">
        <x:v>56100000000</x:v>
      </x:c>
      <x:c r="C607" s="39" t="n">
        <x:v>56100053885</x:v>
      </x:c>
      <x:c r="D607" s="39" t="n">
        <x:v>56100062570</x:v>
      </x:c>
      <x:c r="E607" s="39" t="n">
        <x:v>56100071385</x:v>
      </x:c>
      <x:c r="F607" s="39" t="n">
        <x:v>56100080773</x:v>
      </x:c>
      <x:c r="G607" s="39" t="n">
        <x:v>1</x:v>
      </x:c>
      <x:c r="H607" s="39" t="n">
        <x:v>1</x:v>
      </x:c>
      <x:c r="I607" s="39" t="n">
        <x:v>1</x:v>
      </x:c>
      <x:c r="J607" s="40" t="n">
        <x:f>B607/1000000000</x:f>
        <x:v>56.1</x:v>
      </x:c>
      <x:c r="K607" s="41" t="n">
        <x:f>IF(C607&lt;0,NA(),(F607-B607)/1000000)</x:f>
        <x:v>0.080773</x:v>
      </x:c>
      <x:c r="L607" s="39" t="n">
        <x:f>IF(C607&lt;0,1,IF(OR(G607=0,H607=0,I607=0,F607-B607&gt;100000000),1,0))</x:f>
        <x:v>0</x:v>
      </x:c>
      <x:c r="M607" s="39" t="n">
        <x:f>IF(C607&lt;0,1,0)</x:f>
        <x:v>0</x:v>
      </x:c>
      <x:c r="N607" s="1"/>
      <x:c r="O607" s="1"/>
      <x:c r="P607" s="1"/>
      <x:c r="Q607" s="1"/>
      <x:c r="R607" s="1"/>
    </x:row>
    <x:row r="608" ht="22" customHeight="1">
      <x:c r="A608" s="39" t="n">
        <x:v>562</x:v>
      </x:c>
      <x:c r="B608" s="39" t="n">
        <x:v>56200000000</x:v>
      </x:c>
      <x:c r="C608" s="39" t="n">
        <x:v>56200054784</x:v>
      </x:c>
      <x:c r="D608" s="39" t="n">
        <x:v>56200065247</x:v>
      </x:c>
      <x:c r="E608" s="39" t="n">
        <x:v>56200076728</x:v>
      </x:c>
      <x:c r="F608" s="39" t="n">
        <x:v>56200086210</x:v>
      </x:c>
      <x:c r="G608" s="39" t="n">
        <x:v>1</x:v>
      </x:c>
      <x:c r="H608" s="39" t="n">
        <x:v>1</x:v>
      </x:c>
      <x:c r="I608" s="39" t="n">
        <x:v>1</x:v>
      </x:c>
      <x:c r="J608" s="40" t="n">
        <x:f>B608/1000000000</x:f>
        <x:v>56.2</x:v>
      </x:c>
      <x:c r="K608" s="41" t="n">
        <x:f>IF(C608&lt;0,NA(),(F608-B608)/1000000)</x:f>
        <x:v>0.08621</x:v>
      </x:c>
      <x:c r="L608" s="39" t="n">
        <x:f>IF(C608&lt;0,1,IF(OR(G608=0,H608=0,I608=0,F608-B608&gt;100000000),1,0))</x:f>
        <x:v>0</x:v>
      </x:c>
      <x:c r="M608" s="39" t="n">
        <x:f>IF(C608&lt;0,1,0)</x:f>
        <x:v>0</x:v>
      </x:c>
      <x:c r="N608" s="1"/>
      <x:c r="O608" s="1"/>
      <x:c r="P608" s="1"/>
      <x:c r="Q608" s="1"/>
      <x:c r="R608" s="1"/>
    </x:row>
    <x:row r="609" ht="22" customHeight="1">
      <x:c r="A609" s="39" t="n">
        <x:v>563</x:v>
      </x:c>
      <x:c r="B609" s="39" t="n">
        <x:v>56300000000</x:v>
      </x:c>
      <x:c r="C609" s="39" t="n">
        <x:v>56300053776</x:v>
      </x:c>
      <x:c r="D609" s="39" t="n">
        <x:v>56300063387</x:v>
      </x:c>
      <x:c r="E609" s="39" t="n">
        <x:v>56300074220</x:v>
      </x:c>
      <x:c r="F609" s="39" t="n">
        <x:v>56300083738</x:v>
      </x:c>
      <x:c r="G609" s="39" t="n">
        <x:v>1</x:v>
      </x:c>
      <x:c r="H609" s="39" t="n">
        <x:v>1</x:v>
      </x:c>
      <x:c r="I609" s="39" t="n">
        <x:v>1</x:v>
      </x:c>
      <x:c r="J609" s="40" t="n">
        <x:f>B609/1000000000</x:f>
        <x:v>56.3</x:v>
      </x:c>
      <x:c r="K609" s="41" t="n">
        <x:f>IF(C609&lt;0,NA(),(F609-B609)/1000000)</x:f>
        <x:v>0.083738</x:v>
      </x:c>
      <x:c r="L609" s="39" t="n">
        <x:f>IF(C609&lt;0,1,IF(OR(G609=0,H609=0,I609=0,F609-B609&gt;100000000),1,0))</x:f>
        <x:v>0</x:v>
      </x:c>
      <x:c r="M609" s="39" t="n">
        <x:f>IF(C609&lt;0,1,0)</x:f>
        <x:v>0</x:v>
      </x:c>
      <x:c r="N609" s="1"/>
      <x:c r="O609" s="1"/>
      <x:c r="P609" s="1"/>
      <x:c r="Q609" s="1"/>
      <x:c r="R609" s="1"/>
    </x:row>
    <x:row r="610" ht="22" customHeight="1">
      <x:c r="A610" s="39" t="n">
        <x:v>564</x:v>
      </x:c>
      <x:c r="B610" s="39" t="n">
        <x:v>56400000000</x:v>
      </x:c>
      <x:c r="C610" s="39" t="n">
        <x:v>56400058175</x:v>
      </x:c>
      <x:c r="D610" s="39" t="n">
        <x:v>56400087008</x:v>
      </x:c>
      <x:c r="E610" s="39" t="n">
        <x:v>56400107452</x:v>
      </x:c>
      <x:c r="F610" s="39" t="n">
        <x:v>56400117841</x:v>
      </x:c>
      <x:c r="G610" s="39" t="n">
        <x:v>1</x:v>
      </x:c>
      <x:c r="H610" s="39" t="n">
        <x:v>1</x:v>
      </x:c>
      <x:c r="I610" s="39" t="n">
        <x:v>1</x:v>
      </x:c>
      <x:c r="J610" s="40" t="n">
        <x:f>B610/1000000000</x:f>
        <x:v>56.4</x:v>
      </x:c>
      <x:c r="K610" s="41" t="n">
        <x:f>IF(C610&lt;0,NA(),(F610-B610)/1000000)</x:f>
        <x:v>0.117841</x:v>
      </x:c>
      <x:c r="L610" s="39" t="n">
        <x:f>IF(C610&lt;0,1,IF(OR(G610=0,H610=0,I610=0,F610-B610&gt;100000000),1,0))</x:f>
        <x:v>0</x:v>
      </x:c>
      <x:c r="M610" s="39" t="n">
        <x:f>IF(C610&lt;0,1,0)</x:f>
        <x:v>0</x:v>
      </x:c>
      <x:c r="N610" s="1"/>
      <x:c r="O610" s="1"/>
      <x:c r="P610" s="1"/>
      <x:c r="Q610" s="1"/>
      <x:c r="R610" s="1"/>
    </x:row>
    <x:row r="611" ht="22" customHeight="1">
      <x:c r="A611" s="39" t="n">
        <x:v>565</x:v>
      </x:c>
      <x:c r="B611" s="39" t="n">
        <x:v>56500000000</x:v>
      </x:c>
      <x:c r="C611" s="39" t="n">
        <x:v>56500053815</x:v>
      </x:c>
      <x:c r="D611" s="39" t="n">
        <x:v>56500068352</x:v>
      </x:c>
      <x:c r="E611" s="39" t="n">
        <x:v>56500084907</x:v>
      </x:c>
      <x:c r="F611" s="39" t="n">
        <x:v>56500094611</x:v>
      </x:c>
      <x:c r="G611" s="39" t="n">
        <x:v>1</x:v>
      </x:c>
      <x:c r="H611" s="39" t="n">
        <x:v>1</x:v>
      </x:c>
      <x:c r="I611" s="39" t="n">
        <x:v>1</x:v>
      </x:c>
      <x:c r="J611" s="40" t="n">
        <x:f>B611/1000000000</x:f>
        <x:v>56.5</x:v>
      </x:c>
      <x:c r="K611" s="41" t="n">
        <x:f>IF(C611&lt;0,NA(),(F611-B611)/1000000)</x:f>
        <x:v>0.094611</x:v>
      </x:c>
      <x:c r="L611" s="39" t="n">
        <x:f>IF(C611&lt;0,1,IF(OR(G611=0,H611=0,I611=0,F611-B611&gt;100000000),1,0))</x:f>
        <x:v>0</x:v>
      </x:c>
      <x:c r="M611" s="39" t="n">
        <x:f>IF(C611&lt;0,1,0)</x:f>
        <x:v>0</x:v>
      </x:c>
      <x:c r="N611" s="1"/>
      <x:c r="O611" s="1"/>
      <x:c r="P611" s="1"/>
      <x:c r="Q611" s="1"/>
      <x:c r="R611" s="1"/>
    </x:row>
    <x:row r="612" ht="22" customHeight="1">
      <x:c r="A612" s="39" t="n">
        <x:v>566</x:v>
      </x:c>
      <x:c r="B612" s="39" t="n">
        <x:v>56600000000</x:v>
      </x:c>
      <x:c r="C612" s="39" t="n">
        <x:v>56600054233</x:v>
      </x:c>
      <x:c r="D612" s="39" t="n">
        <x:v>56600063270</x:v>
      </x:c>
      <x:c r="E612" s="39" t="n">
        <x:v>56600075640</x:v>
      </x:c>
      <x:c r="F612" s="39" t="n">
        <x:v>56600085103</x:v>
      </x:c>
      <x:c r="G612" s="39" t="n">
        <x:v>1</x:v>
      </x:c>
      <x:c r="H612" s="39" t="n">
        <x:v>1</x:v>
      </x:c>
      <x:c r="I612" s="39" t="n">
        <x:v>1</x:v>
      </x:c>
      <x:c r="J612" s="40" t="n">
        <x:f>B612/1000000000</x:f>
        <x:v>56.6</x:v>
      </x:c>
      <x:c r="K612" s="41" t="n">
        <x:f>IF(C612&lt;0,NA(),(F612-B612)/1000000)</x:f>
        <x:v>0.085103</x:v>
      </x:c>
      <x:c r="L612" s="39" t="n">
        <x:f>IF(C612&lt;0,1,IF(OR(G612=0,H612=0,I612=0,F612-B612&gt;100000000),1,0))</x:f>
        <x:v>0</x:v>
      </x:c>
      <x:c r="M612" s="39" t="n">
        <x:f>IF(C612&lt;0,1,0)</x:f>
        <x:v>0</x:v>
      </x:c>
      <x:c r="N612" s="1"/>
      <x:c r="O612" s="1"/>
      <x:c r="P612" s="1"/>
      <x:c r="Q612" s="1"/>
      <x:c r="R612" s="1"/>
    </x:row>
    <x:row r="613" ht="22" customHeight="1">
      <x:c r="A613" s="39" t="n">
        <x:v>567</x:v>
      </x:c>
      <x:c r="B613" s="39" t="n">
        <x:v>56700000000</x:v>
      </x:c>
      <x:c r="C613" s="39" t="n">
        <x:v>56700053836</x:v>
      </x:c>
      <x:c r="D613" s="39" t="n">
        <x:v>56700061021</x:v>
      </x:c>
      <x:c r="E613" s="39" t="n">
        <x:v>56700070150</x:v>
      </x:c>
      <x:c r="F613" s="39" t="n">
        <x:v>56700079558</x:v>
      </x:c>
      <x:c r="G613" s="39" t="n">
        <x:v>1</x:v>
      </x:c>
      <x:c r="H613" s="39" t="n">
        <x:v>1</x:v>
      </x:c>
      <x:c r="I613" s="39" t="n">
        <x:v>1</x:v>
      </x:c>
      <x:c r="J613" s="40" t="n">
        <x:f>B613/1000000000</x:f>
        <x:v>56.7</x:v>
      </x:c>
      <x:c r="K613" s="41" t="n">
        <x:f>IF(C613&lt;0,NA(),(F613-B613)/1000000)</x:f>
        <x:v>0.079558</x:v>
      </x:c>
      <x:c r="L613" s="39" t="n">
        <x:f>IF(C613&lt;0,1,IF(OR(G613=0,H613=0,I613=0,F613-B613&gt;100000000),1,0))</x:f>
        <x:v>0</x:v>
      </x:c>
      <x:c r="M613" s="39" t="n">
        <x:f>IF(C613&lt;0,1,0)</x:f>
        <x:v>0</x:v>
      </x:c>
      <x:c r="N613" s="1"/>
      <x:c r="O613" s="1"/>
      <x:c r="P613" s="1"/>
      <x:c r="Q613" s="1"/>
      <x:c r="R613" s="1"/>
    </x:row>
    <x:row r="614" ht="22" customHeight="1">
      <x:c r="A614" s="39" t="n">
        <x:v>568</x:v>
      </x:c>
      <x:c r="B614" s="39" t="n">
        <x:v>56800000000</x:v>
      </x:c>
      <x:c r="C614" s="39" t="n">
        <x:v>56800055161</x:v>
      </x:c>
      <x:c r="D614" s="39" t="n">
        <x:v>56800067012</x:v>
      </x:c>
      <x:c r="E614" s="39" t="n">
        <x:v>56800078642</x:v>
      </x:c>
      <x:c r="F614" s="39" t="n">
        <x:v>56800088383</x:v>
      </x:c>
      <x:c r="G614" s="39" t="n">
        <x:v>1</x:v>
      </x:c>
      <x:c r="H614" s="39" t="n">
        <x:v>1</x:v>
      </x:c>
      <x:c r="I614" s="39" t="n">
        <x:v>1</x:v>
      </x:c>
      <x:c r="J614" s="40" t="n">
        <x:f>B614/1000000000</x:f>
        <x:v>56.8</x:v>
      </x:c>
      <x:c r="K614" s="41" t="n">
        <x:f>IF(C614&lt;0,NA(),(F614-B614)/1000000)</x:f>
        <x:v>0.088383</x:v>
      </x:c>
      <x:c r="L614" s="39" t="n">
        <x:f>IF(C614&lt;0,1,IF(OR(G614=0,H614=0,I614=0,F614-B614&gt;100000000),1,0))</x:f>
        <x:v>0</x:v>
      </x:c>
      <x:c r="M614" s="39" t="n">
        <x:f>IF(C614&lt;0,1,0)</x:f>
        <x:v>0</x:v>
      </x:c>
      <x:c r="N614" s="1"/>
      <x:c r="O614" s="1"/>
      <x:c r="P614" s="1"/>
      <x:c r="Q614" s="1"/>
      <x:c r="R614" s="1"/>
    </x:row>
    <x:row r="615" ht="22" customHeight="1">
      <x:c r="A615" s="39" t="n">
        <x:v>569</x:v>
      </x:c>
      <x:c r="B615" s="39" t="n">
        <x:v>56900000000</x:v>
      </x:c>
      <x:c r="C615" s="39" t="n">
        <x:v>56900054232</x:v>
      </x:c>
      <x:c r="D615" s="39" t="n">
        <x:v>56900061769</x:v>
      </x:c>
      <x:c r="E615" s="39" t="n">
        <x:v>56900069788</x:v>
      </x:c>
      <x:c r="F615" s="39" t="n">
        <x:v>56900079195</x:v>
      </x:c>
      <x:c r="G615" s="39" t="n">
        <x:v>1</x:v>
      </x:c>
      <x:c r="H615" s="39" t="n">
        <x:v>1</x:v>
      </x:c>
      <x:c r="I615" s="39" t="n">
        <x:v>1</x:v>
      </x:c>
      <x:c r="J615" s="40" t="n">
        <x:f>B615/1000000000</x:f>
        <x:v>56.9</x:v>
      </x:c>
      <x:c r="K615" s="41" t="n">
        <x:f>IF(C615&lt;0,NA(),(F615-B615)/1000000)</x:f>
        <x:v>0.079195</x:v>
      </x:c>
      <x:c r="L615" s="39" t="n">
        <x:f>IF(C615&lt;0,1,IF(OR(G615=0,H615=0,I615=0,F615-B615&gt;100000000),1,0))</x:f>
        <x:v>0</x:v>
      </x:c>
      <x:c r="M615" s="39" t="n">
        <x:f>IF(C615&lt;0,1,0)</x:f>
        <x:v>0</x:v>
      </x:c>
      <x:c r="N615" s="1"/>
      <x:c r="O615" s="1"/>
      <x:c r="P615" s="1"/>
      <x:c r="Q615" s="1"/>
      <x:c r="R615" s="1"/>
    </x:row>
    <x:row r="616" ht="22" customHeight="1">
      <x:c r="A616" s="39" t="n">
        <x:v>570</x:v>
      </x:c>
      <x:c r="B616" s="39" t="n">
        <x:v>57000000000</x:v>
      </x:c>
      <x:c r="C616" s="39" t="n">
        <x:v>57000056096</x:v>
      </x:c>
      <x:c r="D616" s="39" t="n">
        <x:v>57000090281</x:v>
      </x:c>
      <x:c r="E616" s="39" t="n">
        <x:v>57000117373</x:v>
      </x:c>
      <x:c r="F616" s="39" t="n">
        <x:v>57000127577</x:v>
      </x:c>
      <x:c r="G616" s="39" t="n">
        <x:v>1</x:v>
      </x:c>
      <x:c r="H616" s="39" t="n">
        <x:v>1</x:v>
      </x:c>
      <x:c r="I616" s="39" t="n">
        <x:v>1</x:v>
      </x:c>
      <x:c r="J616" s="40" t="n">
        <x:f>B616/1000000000</x:f>
        <x:v>57</x:v>
      </x:c>
      <x:c r="K616" s="41" t="n">
        <x:f>IF(C616&lt;0,NA(),(F616-B616)/1000000)</x:f>
        <x:v>0.127577</x:v>
      </x:c>
      <x:c r="L616" s="39" t="n">
        <x:f>IF(C616&lt;0,1,IF(OR(G616=0,H616=0,I616=0,F616-B616&gt;100000000),1,0))</x:f>
        <x:v>0</x:v>
      </x:c>
      <x:c r="M616" s="39" t="n">
        <x:f>IF(C616&lt;0,1,0)</x:f>
        <x:v>0</x:v>
      </x:c>
      <x:c r="N616" s="1"/>
      <x:c r="O616" s="1"/>
      <x:c r="P616" s="1"/>
      <x:c r="Q616" s="1"/>
      <x:c r="R616" s="1"/>
    </x:row>
    <x:row r="617" ht="22" customHeight="1">
      <x:c r="A617" s="39" t="n">
        <x:v>571</x:v>
      </x:c>
      <x:c r="B617" s="39" t="n">
        <x:v>57100000000</x:v>
      </x:c>
      <x:c r="C617" s="39" t="n">
        <x:v>57100053608</x:v>
      </x:c>
      <x:c r="D617" s="39" t="n">
        <x:v>57100066367</x:v>
      </x:c>
      <x:c r="E617" s="39" t="n">
        <x:v>57100076774</x:v>
      </x:c>
      <x:c r="F617" s="39" t="n">
        <x:v>57100086589</x:v>
      </x:c>
      <x:c r="G617" s="39" t="n">
        <x:v>1</x:v>
      </x:c>
      <x:c r="H617" s="39" t="n">
        <x:v>1</x:v>
      </x:c>
      <x:c r="I617" s="39" t="n">
        <x:v>1</x:v>
      </x:c>
      <x:c r="J617" s="40" t="n">
        <x:f>B617/1000000000</x:f>
        <x:v>57.1</x:v>
      </x:c>
      <x:c r="K617" s="41" t="n">
        <x:f>IF(C617&lt;0,NA(),(F617-B617)/1000000)</x:f>
        <x:v>0.086589</x:v>
      </x:c>
      <x:c r="L617" s="39" t="n">
        <x:f>IF(C617&lt;0,1,IF(OR(G617=0,H617=0,I617=0,F617-B617&gt;100000000),1,0))</x:f>
        <x:v>0</x:v>
      </x:c>
      <x:c r="M617" s="39" t="n">
        <x:f>IF(C617&lt;0,1,0)</x:f>
        <x:v>0</x:v>
      </x:c>
      <x:c r="N617" s="1"/>
      <x:c r="O617" s="1"/>
      <x:c r="P617" s="1"/>
      <x:c r="Q617" s="1"/>
      <x:c r="R617" s="1"/>
    </x:row>
    <x:row r="618" ht="22" customHeight="1">
      <x:c r="A618" s="39" t="n">
        <x:v>572</x:v>
      </x:c>
      <x:c r="B618" s="39" t="n">
        <x:v>57200000000</x:v>
      </x:c>
      <x:c r="C618" s="39" t="n">
        <x:v>57200055583</x:v>
      </x:c>
      <x:c r="D618" s="39" t="n">
        <x:v>57200070675</x:v>
      </x:c>
      <x:c r="E618" s="39" t="n">
        <x:v>57200084971</x:v>
      </x:c>
      <x:c r="F618" s="39" t="n">
        <x:v>57200094749</x:v>
      </x:c>
      <x:c r="G618" s="39" t="n">
        <x:v>1</x:v>
      </x:c>
      <x:c r="H618" s="39" t="n">
        <x:v>1</x:v>
      </x:c>
      <x:c r="I618" s="39" t="n">
        <x:v>1</x:v>
      </x:c>
      <x:c r="J618" s="40" t="n">
        <x:f>B618/1000000000</x:f>
        <x:v>57.2</x:v>
      </x:c>
      <x:c r="K618" s="41" t="n">
        <x:f>IF(C618&lt;0,NA(),(F618-B618)/1000000)</x:f>
        <x:v>0.094749</x:v>
      </x:c>
      <x:c r="L618" s="39" t="n">
        <x:f>IF(C618&lt;0,1,IF(OR(G618=0,H618=0,I618=0,F618-B618&gt;100000000),1,0))</x:f>
        <x:v>0</x:v>
      </x:c>
      <x:c r="M618" s="39" t="n">
        <x:f>IF(C618&lt;0,1,0)</x:f>
        <x:v>0</x:v>
      </x:c>
      <x:c r="N618" s="1"/>
      <x:c r="O618" s="1"/>
      <x:c r="P618" s="1"/>
      <x:c r="Q618" s="1"/>
      <x:c r="R618" s="1"/>
    </x:row>
    <x:row r="619" ht="22" customHeight="1">
      <x:c r="A619" s="39" t="n">
        <x:v>573</x:v>
      </x:c>
      <x:c r="B619" s="39" t="n">
        <x:v>57300000000</x:v>
      </x:c>
      <x:c r="C619" s="39" t="n">
        <x:v>57300054650</x:v>
      </x:c>
      <x:c r="D619" s="39" t="n">
        <x:v>57300063687</x:v>
      </x:c>
      <x:c r="E619" s="39" t="n">
        <x:v>57300073557</x:v>
      </x:c>
      <x:c r="F619" s="39" t="n">
        <x:v>57300082946</x:v>
      </x:c>
      <x:c r="G619" s="39" t="n">
        <x:v>1</x:v>
      </x:c>
      <x:c r="H619" s="39" t="n">
        <x:v>1</x:v>
      </x:c>
      <x:c r="I619" s="39" t="n">
        <x:v>1</x:v>
      </x:c>
      <x:c r="J619" s="40" t="n">
        <x:f>B619/1000000000</x:f>
        <x:v>57.3</x:v>
      </x:c>
      <x:c r="K619" s="41" t="n">
        <x:f>IF(C619&lt;0,NA(),(F619-B619)/1000000)</x:f>
        <x:v>0.082946</x:v>
      </x:c>
      <x:c r="L619" s="39" t="n">
        <x:f>IF(C619&lt;0,1,IF(OR(G619=0,H619=0,I619=0,F619-B619&gt;100000000),1,0))</x:f>
        <x:v>0</x:v>
      </x:c>
      <x:c r="M619" s="39" t="n">
        <x:f>IF(C619&lt;0,1,0)</x:f>
        <x:v>0</x:v>
      </x:c>
      <x:c r="N619" s="1"/>
      <x:c r="O619" s="1"/>
      <x:c r="P619" s="1"/>
      <x:c r="Q619" s="1"/>
      <x:c r="R619" s="1"/>
    </x:row>
    <x:row r="620" ht="22" customHeight="1">
      <x:c r="A620" s="39" t="n">
        <x:v>574</x:v>
      </x:c>
      <x:c r="B620" s="39" t="n">
        <x:v>57400000000</x:v>
      </x:c>
      <x:c r="C620" s="39" t="n">
        <x:v>57400053107</x:v>
      </x:c>
      <x:c r="D620" s="39" t="n">
        <x:v>57400060792</x:v>
      </x:c>
      <x:c r="E620" s="39" t="n">
        <x:v>57400070032</x:v>
      </x:c>
      <x:c r="F620" s="39" t="n">
        <x:v>57400079421</x:v>
      </x:c>
      <x:c r="G620" s="39" t="n">
        <x:v>1</x:v>
      </x:c>
      <x:c r="H620" s="39" t="n">
        <x:v>1</x:v>
      </x:c>
      <x:c r="I620" s="39" t="n">
        <x:v>1</x:v>
      </x:c>
      <x:c r="J620" s="40" t="n">
        <x:f>B620/1000000000</x:f>
        <x:v>57.4</x:v>
      </x:c>
      <x:c r="K620" s="41" t="n">
        <x:f>IF(C620&lt;0,NA(),(F620-B620)/1000000)</x:f>
        <x:v>0.079421</x:v>
      </x:c>
      <x:c r="L620" s="39" t="n">
        <x:f>IF(C620&lt;0,1,IF(OR(G620=0,H620=0,I620=0,F620-B620&gt;100000000),1,0))</x:f>
        <x:v>0</x:v>
      </x:c>
      <x:c r="M620" s="39" t="n">
        <x:f>IF(C620&lt;0,1,0)</x:f>
        <x:v>0</x:v>
      </x:c>
      <x:c r="N620" s="1"/>
      <x:c r="O620" s="1"/>
      <x:c r="P620" s="1"/>
      <x:c r="Q620" s="1"/>
      <x:c r="R620" s="1"/>
    </x:row>
    <x:row r="621" ht="22" customHeight="1">
      <x:c r="A621" s="39" t="n">
        <x:v>575</x:v>
      </x:c>
      <x:c r="B621" s="39" t="n">
        <x:v>57500000000</x:v>
      </x:c>
      <x:c r="C621" s="39" t="n">
        <x:v>57500054378</x:v>
      </x:c>
      <x:c r="D621" s="39" t="n">
        <x:v>57500064100</x:v>
      </x:c>
      <x:c r="E621" s="39" t="n">
        <x:v>57500075785</x:v>
      </x:c>
      <x:c r="F621" s="39" t="n">
        <x:v>57500085155</x:v>
      </x:c>
      <x:c r="G621" s="39" t="n">
        <x:v>1</x:v>
      </x:c>
      <x:c r="H621" s="39" t="n">
        <x:v>1</x:v>
      </x:c>
      <x:c r="I621" s="39" t="n">
        <x:v>1</x:v>
      </x:c>
      <x:c r="J621" s="40" t="n">
        <x:f>B621/1000000000</x:f>
        <x:v>57.5</x:v>
      </x:c>
      <x:c r="K621" s="41" t="n">
        <x:f>IF(C621&lt;0,NA(),(F621-B621)/1000000)</x:f>
        <x:v>0.085155</x:v>
      </x:c>
      <x:c r="L621" s="39" t="n">
        <x:f>IF(C621&lt;0,1,IF(OR(G621=0,H621=0,I621=0,F621-B621&gt;100000000),1,0))</x:f>
        <x:v>0</x:v>
      </x:c>
      <x:c r="M621" s="39" t="n">
        <x:f>IF(C621&lt;0,1,0)</x:f>
        <x:v>0</x:v>
      </x:c>
      <x:c r="N621" s="1"/>
      <x:c r="O621" s="1"/>
      <x:c r="P621" s="1"/>
      <x:c r="Q621" s="1"/>
      <x:c r="R621" s="1"/>
    </x:row>
    <x:row r="622" ht="22" customHeight="1">
      <x:c r="A622" s="39" t="n">
        <x:v>576</x:v>
      </x:c>
      <x:c r="B622" s="39" t="n">
        <x:v>57600000000</x:v>
      </x:c>
      <x:c r="C622" s="39" t="n">
        <x:v>57600058445</x:v>
      </x:c>
      <x:c r="D622" s="39" t="n">
        <x:v>57600102630</x:v>
      </x:c>
      <x:c r="E622" s="39" t="n">
        <x:v>57600134296</x:v>
      </x:c>
      <x:c r="F622" s="39" t="n">
        <x:v>57600144462</x:v>
      </x:c>
      <x:c r="G622" s="39" t="n">
        <x:v>1</x:v>
      </x:c>
      <x:c r="H622" s="39" t="n">
        <x:v>1</x:v>
      </x:c>
      <x:c r="I622" s="39" t="n">
        <x:v>1</x:v>
      </x:c>
      <x:c r="J622" s="40" t="n">
        <x:f>B622/1000000000</x:f>
        <x:v>57.6</x:v>
      </x:c>
      <x:c r="K622" s="41" t="n">
        <x:f>IF(C622&lt;0,NA(),(F622-B622)/1000000)</x:f>
        <x:v>0.144462</x:v>
      </x:c>
      <x:c r="L622" s="39" t="n">
        <x:f>IF(C622&lt;0,1,IF(OR(G622=0,H622=0,I622=0,F622-B622&gt;100000000),1,0))</x:f>
        <x:v>0</x:v>
      </x:c>
      <x:c r="M622" s="39" t="n">
        <x:f>IF(C622&lt;0,1,0)</x:f>
        <x:v>0</x:v>
      </x:c>
      <x:c r="N622" s="1"/>
      <x:c r="O622" s="1"/>
      <x:c r="P622" s="1"/>
      <x:c r="Q622" s="1"/>
      <x:c r="R622" s="1"/>
    </x:row>
    <x:row r="623" ht="22" customHeight="1">
      <x:c r="A623" s="39" t="n">
        <x:v>577</x:v>
      </x:c>
      <x:c r="B623" s="39" t="n">
        <x:v>57700000000</x:v>
      </x:c>
      <x:c r="C623" s="39" t="n">
        <x:v>57700055050</x:v>
      </x:c>
      <x:c r="D623" s="39" t="n">
        <x:v>57700069716</x:v>
      </x:c>
      <x:c r="E623" s="39" t="n">
        <x:v>57700083086</x:v>
      </x:c>
      <x:c r="F623" s="39" t="n">
        <x:v>57700092605</x:v>
      </x:c>
      <x:c r="G623" s="39" t="n">
        <x:v>1</x:v>
      </x:c>
      <x:c r="H623" s="39" t="n">
        <x:v>1</x:v>
      </x:c>
      <x:c r="I623" s="39" t="n">
        <x:v>1</x:v>
      </x:c>
      <x:c r="J623" s="40" t="n">
        <x:f>B623/1000000000</x:f>
        <x:v>57.7</x:v>
      </x:c>
      <x:c r="K623" s="41" t="n">
        <x:f>IF(C623&lt;0,NA(),(F623-B623)/1000000)</x:f>
        <x:v>0.092605</x:v>
      </x:c>
      <x:c r="L623" s="39" t="n">
        <x:f>IF(C623&lt;0,1,IF(OR(G623=0,H623=0,I623=0,F623-B623&gt;100000000),1,0))</x:f>
        <x:v>0</x:v>
      </x:c>
      <x:c r="M623" s="39" t="n">
        <x:f>IF(C623&lt;0,1,0)</x:f>
        <x:v>0</x:v>
      </x:c>
      <x:c r="N623" s="1"/>
      <x:c r="O623" s="1"/>
      <x:c r="P623" s="1"/>
      <x:c r="Q623" s="1"/>
      <x:c r="R623" s="1"/>
    </x:row>
    <x:row r="624" ht="22" customHeight="1">
      <x:c r="A624" s="39" t="n">
        <x:v>578</x:v>
      </x:c>
      <x:c r="B624" s="39" t="n">
        <x:v>57800000000</x:v>
      </x:c>
      <x:c r="C624" s="39" t="n">
        <x:v>57800055358</x:v>
      </x:c>
      <x:c r="D624" s="39" t="n">
        <x:v>57800067209</x:v>
      </x:c>
      <x:c r="E624" s="39" t="n">
        <x:v>57800080117</x:v>
      </x:c>
      <x:c r="F624" s="39" t="n">
        <x:v>57800089783</x:v>
      </x:c>
      <x:c r="G624" s="39" t="n">
        <x:v>1</x:v>
      </x:c>
      <x:c r="H624" s="39" t="n">
        <x:v>1</x:v>
      </x:c>
      <x:c r="I624" s="39" t="n">
        <x:v>1</x:v>
      </x:c>
      <x:c r="J624" s="40" t="n">
        <x:f>B624/1000000000</x:f>
        <x:v>57.8</x:v>
      </x:c>
      <x:c r="K624" s="41" t="n">
        <x:f>IF(C624&lt;0,NA(),(F624-B624)/1000000)</x:f>
        <x:v>0.089783</x:v>
      </x:c>
      <x:c r="L624" s="39" t="n">
        <x:f>IF(C624&lt;0,1,IF(OR(G624=0,H624=0,I624=0,F624-B624&gt;100000000),1,0))</x:f>
        <x:v>0</x:v>
      </x:c>
      <x:c r="M624" s="39" t="n">
        <x:f>IF(C624&lt;0,1,0)</x:f>
        <x:v>0</x:v>
      </x:c>
      <x:c r="N624" s="1"/>
      <x:c r="O624" s="1"/>
      <x:c r="P624" s="1"/>
      <x:c r="Q624" s="1"/>
      <x:c r="R624" s="1"/>
    </x:row>
    <x:row r="625" ht="22" customHeight="1">
      <x:c r="A625" s="39" t="n">
        <x:v>579</x:v>
      </x:c>
      <x:c r="B625" s="39" t="n">
        <x:v>57900000000</x:v>
      </x:c>
      <x:c r="C625" s="39" t="n">
        <x:v>57900055337</x:v>
      </x:c>
      <x:c r="D625" s="39" t="n">
        <x:v>57900068171</x:v>
      </x:c>
      <x:c r="E625" s="39" t="n">
        <x:v>57900080985</x:v>
      </x:c>
      <x:c r="F625" s="39" t="n">
        <x:v>57900090504</x:v>
      </x:c>
      <x:c r="G625" s="39" t="n">
        <x:v>1</x:v>
      </x:c>
      <x:c r="H625" s="39" t="n">
        <x:v>1</x:v>
      </x:c>
      <x:c r="I625" s="39" t="n">
        <x:v>1</x:v>
      </x:c>
      <x:c r="J625" s="40" t="n">
        <x:f>B625/1000000000</x:f>
        <x:v>57.9</x:v>
      </x:c>
      <x:c r="K625" s="41" t="n">
        <x:f>IF(C625&lt;0,NA(),(F625-B625)/1000000)</x:f>
        <x:v>0.090504</x:v>
      </x:c>
      <x:c r="L625" s="39" t="n">
        <x:f>IF(C625&lt;0,1,IF(OR(G625=0,H625=0,I625=0,F625-B625&gt;100000000),1,0))</x:f>
        <x:v>0</x:v>
      </x:c>
      <x:c r="M625" s="39" t="n">
        <x:f>IF(C625&lt;0,1,0)</x:f>
        <x:v>0</x:v>
      </x:c>
      <x:c r="N625" s="1"/>
      <x:c r="O625" s="1"/>
      <x:c r="P625" s="1"/>
      <x:c r="Q625" s="1"/>
      <x:c r="R625" s="1"/>
    </x:row>
    <x:row r="626" ht="22" customHeight="1">
      <x:c r="A626" s="39" t="n">
        <x:v>580</x:v>
      </x:c>
      <x:c r="B626" s="39" t="n">
        <x:v>58000000000</x:v>
      </x:c>
      <x:c r="C626" s="39" t="n">
        <x:v>58000054627</x:v>
      </x:c>
      <x:c r="D626" s="39" t="n">
        <x:v>58000066590</x:v>
      </x:c>
      <x:c r="E626" s="39" t="n">
        <x:v>58000078720</x:v>
      </x:c>
      <x:c r="F626" s="39" t="n">
        <x:v>58000088145</x:v>
      </x:c>
      <x:c r="G626" s="39" t="n">
        <x:v>1</x:v>
      </x:c>
      <x:c r="H626" s="39" t="n">
        <x:v>1</x:v>
      </x:c>
      <x:c r="I626" s="39" t="n">
        <x:v>1</x:v>
      </x:c>
      <x:c r="J626" s="40" t="n">
        <x:f>B626/1000000000</x:f>
        <x:v>58</x:v>
      </x:c>
      <x:c r="K626" s="41" t="n">
        <x:f>IF(C626&lt;0,NA(),(F626-B626)/1000000)</x:f>
        <x:v>0.088145</x:v>
      </x:c>
      <x:c r="L626" s="39" t="n">
        <x:f>IF(C626&lt;0,1,IF(OR(G626=0,H626=0,I626=0,F626-B626&gt;100000000),1,0))</x:f>
        <x:v>0</x:v>
      </x:c>
      <x:c r="M626" s="39" t="n">
        <x:f>IF(C626&lt;0,1,0)</x:f>
        <x:v>0</x:v>
      </x:c>
      <x:c r="N626" s="1"/>
      <x:c r="O626" s="1"/>
      <x:c r="P626" s="1"/>
      <x:c r="Q626" s="1"/>
      <x:c r="R626" s="1"/>
    </x:row>
    <x:row r="627" ht="22" customHeight="1">
      <x:c r="A627" s="39" t="n">
        <x:v>581</x:v>
      </x:c>
      <x:c r="B627" s="39" t="n">
        <x:v>58100000000</x:v>
      </x:c>
      <x:c r="C627" s="39" t="n">
        <x:v>58100055547</x:v>
      </x:c>
      <x:c r="D627" s="39" t="n">
        <x:v>58100068954</x:v>
      </x:c>
      <x:c r="E627" s="39" t="n">
        <x:v>58100081528</x:v>
      </x:c>
      <x:c r="F627" s="39" t="n">
        <x:v>58100091065</x:v>
      </x:c>
      <x:c r="G627" s="39" t="n">
        <x:v>1</x:v>
      </x:c>
      <x:c r="H627" s="39" t="n">
        <x:v>1</x:v>
      </x:c>
      <x:c r="I627" s="39" t="n">
        <x:v>1</x:v>
      </x:c>
      <x:c r="J627" s="40" t="n">
        <x:f>B627/1000000000</x:f>
        <x:v>58.1</x:v>
      </x:c>
      <x:c r="K627" s="41" t="n">
        <x:f>IF(C627&lt;0,NA(),(F627-B627)/1000000)</x:f>
        <x:v>0.091065</x:v>
      </x:c>
      <x:c r="L627" s="39" t="n">
        <x:f>IF(C627&lt;0,1,IF(OR(G627=0,H627=0,I627=0,F627-B627&gt;100000000),1,0))</x:f>
        <x:v>0</x:v>
      </x:c>
      <x:c r="M627" s="39" t="n">
        <x:f>IF(C627&lt;0,1,0)</x:f>
        <x:v>0</x:v>
      </x:c>
      <x:c r="N627" s="1"/>
      <x:c r="O627" s="1"/>
      <x:c r="P627" s="1"/>
      <x:c r="Q627" s="1"/>
      <x:c r="R627" s="1"/>
    </x:row>
    <x:row r="628" ht="22" customHeight="1">
      <x:c r="A628" s="39" t="n">
        <x:v>582</x:v>
      </x:c>
      <x:c r="B628" s="39" t="n">
        <x:v>58200000000</x:v>
      </x:c>
      <x:c r="C628" s="39" t="n">
        <x:v>58200058300</x:v>
      </x:c>
      <x:c r="D628" s="39" t="n">
        <x:v>58200091244</x:v>
      </x:c>
      <x:c r="E628" s="39" t="n">
        <x:v>58200114725</x:v>
      </x:c>
      <x:c r="F628" s="39" t="n">
        <x:v>58200124854</x:v>
      </x:c>
      <x:c r="G628" s="39" t="n">
        <x:v>1</x:v>
      </x:c>
      <x:c r="H628" s="39" t="n">
        <x:v>1</x:v>
      </x:c>
      <x:c r="I628" s="39" t="n">
        <x:v>1</x:v>
      </x:c>
      <x:c r="J628" s="40" t="n">
        <x:f>B628/1000000000</x:f>
        <x:v>58.2</x:v>
      </x:c>
      <x:c r="K628" s="41" t="n">
        <x:f>IF(C628&lt;0,NA(),(F628-B628)/1000000)</x:f>
        <x:v>0.124854</x:v>
      </x:c>
      <x:c r="L628" s="39" t="n">
        <x:f>IF(C628&lt;0,1,IF(OR(G628=0,H628=0,I628=0,F628-B628&gt;100000000),1,0))</x:f>
        <x:v>0</x:v>
      </x:c>
      <x:c r="M628" s="39" t="n">
        <x:f>IF(C628&lt;0,1,0)</x:f>
        <x:v>0</x:v>
      </x:c>
      <x:c r="N628" s="1"/>
      <x:c r="O628" s="1"/>
      <x:c r="P628" s="1"/>
      <x:c r="Q628" s="1"/>
      <x:c r="R628" s="1"/>
    </x:row>
    <x:row r="629" ht="22" customHeight="1">
      <x:c r="A629" s="39" t="n">
        <x:v>583</x:v>
      </x:c>
      <x:c r="B629" s="39" t="n">
        <x:v>58300000000</x:v>
      </x:c>
      <x:c r="C629" s="39" t="n">
        <x:v>58300055164</x:v>
      </x:c>
      <x:c r="D629" s="39" t="n">
        <x:v>58300065775</x:v>
      </x:c>
      <x:c r="E629" s="39" t="n">
        <x:v>58300076608</x:v>
      </x:c>
      <x:c r="F629" s="39" t="n">
        <x:v>58300085997</x:v>
      </x:c>
      <x:c r="G629" s="39" t="n">
        <x:v>1</x:v>
      </x:c>
      <x:c r="H629" s="39" t="n">
        <x:v>1</x:v>
      </x:c>
      <x:c r="I629" s="39" t="n">
        <x:v>1</x:v>
      </x:c>
      <x:c r="J629" s="40" t="n">
        <x:f>B629/1000000000</x:f>
        <x:v>58.3</x:v>
      </x:c>
      <x:c r="K629" s="41" t="n">
        <x:f>IF(C629&lt;0,NA(),(F629-B629)/1000000)</x:f>
        <x:v>0.085997</x:v>
      </x:c>
      <x:c r="L629" s="39" t="n">
        <x:f>IF(C629&lt;0,1,IF(OR(G629=0,H629=0,I629=0,F629-B629&gt;100000000),1,0))</x:f>
        <x:v>0</x:v>
      </x:c>
      <x:c r="M629" s="39" t="n">
        <x:f>IF(C629&lt;0,1,0)</x:f>
        <x:v>0</x:v>
      </x:c>
      <x:c r="N629" s="1"/>
      <x:c r="O629" s="1"/>
      <x:c r="P629" s="1"/>
      <x:c r="Q629" s="1"/>
      <x:c r="R629" s="1"/>
    </x:row>
    <x:row r="630" ht="22" customHeight="1">
      <x:c r="A630" s="39" t="n">
        <x:v>584</x:v>
      </x:c>
      <x:c r="B630" s="39" t="n">
        <x:v>58400000000</x:v>
      </x:c>
      <x:c r="C630" s="39" t="n">
        <x:v>58400055306</x:v>
      </x:c>
      <x:c r="D630" s="39" t="n">
        <x:v>58400069713</x:v>
      </x:c>
      <x:c r="E630" s="39" t="n">
        <x:v>58400084509</x:v>
      </x:c>
      <x:c r="F630" s="39" t="n">
        <x:v>58400094157</x:v>
      </x:c>
      <x:c r="G630" s="39" t="n">
        <x:v>1</x:v>
      </x:c>
      <x:c r="H630" s="39" t="n">
        <x:v>1</x:v>
      </x:c>
      <x:c r="I630" s="39" t="n">
        <x:v>1</x:v>
      </x:c>
      <x:c r="J630" s="40" t="n">
        <x:f>B630/1000000000</x:f>
        <x:v>58.4</x:v>
      </x:c>
      <x:c r="K630" s="41" t="n">
        <x:f>IF(C630&lt;0,NA(),(F630-B630)/1000000)</x:f>
        <x:v>0.094157</x:v>
      </x:c>
      <x:c r="L630" s="39" t="n">
        <x:f>IF(C630&lt;0,1,IF(OR(G630=0,H630=0,I630=0,F630-B630&gt;100000000),1,0))</x:f>
        <x:v>0</x:v>
      </x:c>
      <x:c r="M630" s="39" t="n">
        <x:f>IF(C630&lt;0,1,0)</x:f>
        <x:v>0</x:v>
      </x:c>
      <x:c r="N630" s="1"/>
      <x:c r="O630" s="1"/>
      <x:c r="P630" s="1"/>
      <x:c r="Q630" s="1"/>
      <x:c r="R630" s="1"/>
    </x:row>
    <x:row r="631" ht="22" customHeight="1">
      <x:c r="A631" s="39" t="n">
        <x:v>585</x:v>
      </x:c>
      <x:c r="B631" s="39" t="n">
        <x:v>58500000000</x:v>
      </x:c>
      <x:c r="C631" s="39" t="n">
        <x:v>58500054873</x:v>
      </x:c>
      <x:c r="D631" s="39" t="n">
        <x:v>58500067780</x:v>
      </x:c>
      <x:c r="E631" s="39" t="n">
        <x:v>58500080206</x:v>
      </x:c>
      <x:c r="F631" s="39" t="n">
        <x:v>58500089817</x:v>
      </x:c>
      <x:c r="G631" s="39" t="n">
        <x:v>1</x:v>
      </x:c>
      <x:c r="H631" s="39" t="n">
        <x:v>1</x:v>
      </x:c>
      <x:c r="I631" s="39" t="n">
        <x:v>1</x:v>
      </x:c>
      <x:c r="J631" s="40" t="n">
        <x:f>B631/1000000000</x:f>
        <x:v>58.5</x:v>
      </x:c>
      <x:c r="K631" s="41" t="n">
        <x:f>IF(C631&lt;0,NA(),(F631-B631)/1000000)</x:f>
        <x:v>0.089817</x:v>
      </x:c>
      <x:c r="L631" s="39" t="n">
        <x:f>IF(C631&lt;0,1,IF(OR(G631=0,H631=0,I631=0,F631-B631&gt;100000000),1,0))</x:f>
        <x:v>0</x:v>
      </x:c>
      <x:c r="M631" s="39" t="n">
        <x:f>IF(C631&lt;0,1,0)</x:f>
        <x:v>0</x:v>
      </x:c>
      <x:c r="N631" s="1"/>
      <x:c r="O631" s="1"/>
      <x:c r="P631" s="1"/>
      <x:c r="Q631" s="1"/>
      <x:c r="R631" s="1"/>
    </x:row>
    <x:row r="632" ht="22" customHeight="1">
      <x:c r="A632" s="39" t="n">
        <x:v>586</x:v>
      </x:c>
      <x:c r="B632" s="39" t="n">
        <x:v>58600000000</x:v>
      </x:c>
      <x:c r="C632" s="39" t="n">
        <x:v>58600055830</x:v>
      </x:c>
      <x:c r="D632" s="39" t="n">
        <x:v>58600070274</x:v>
      </x:c>
      <x:c r="E632" s="39" t="n">
        <x:v>58600084163</x:v>
      </x:c>
      <x:c r="F632" s="39" t="n">
        <x:v>58600094033</x:v>
      </x:c>
      <x:c r="G632" s="39" t="n">
        <x:v>1</x:v>
      </x:c>
      <x:c r="H632" s="39" t="n">
        <x:v>1</x:v>
      </x:c>
      <x:c r="I632" s="39" t="n">
        <x:v>1</x:v>
      </x:c>
      <x:c r="J632" s="40" t="n">
        <x:f>B632/1000000000</x:f>
        <x:v>58.6</x:v>
      </x:c>
      <x:c r="K632" s="41" t="n">
        <x:f>IF(C632&lt;0,NA(),(F632-B632)/1000000)</x:f>
        <x:v>0.094033</x:v>
      </x:c>
      <x:c r="L632" s="39" t="n">
        <x:f>IF(C632&lt;0,1,IF(OR(G632=0,H632=0,I632=0,F632-B632&gt;100000000),1,0))</x:f>
        <x:v>0</x:v>
      </x:c>
      <x:c r="M632" s="39" t="n">
        <x:f>IF(C632&lt;0,1,0)</x:f>
        <x:v>0</x:v>
      </x:c>
      <x:c r="N632" s="1"/>
      <x:c r="O632" s="1"/>
      <x:c r="P632" s="1"/>
      <x:c r="Q632" s="1"/>
      <x:c r="R632" s="1"/>
    </x:row>
    <x:row r="633" ht="22" customHeight="1">
      <x:c r="A633" s="39" t="n">
        <x:v>587</x:v>
      </x:c>
      <x:c r="B633" s="39" t="n">
        <x:v>58700000000</x:v>
      </x:c>
      <x:c r="C633" s="39" t="n">
        <x:v>58700053323</x:v>
      </x:c>
      <x:c r="D633" s="39" t="n">
        <x:v>58700060194</x:v>
      </x:c>
      <x:c r="E633" s="39" t="n">
        <x:v>58700068268</x:v>
      </x:c>
      <x:c r="F633" s="39" t="n">
        <x:v>58700077582</x:v>
      </x:c>
      <x:c r="G633" s="39" t="n">
        <x:v>1</x:v>
      </x:c>
      <x:c r="H633" s="39" t="n">
        <x:v>1</x:v>
      </x:c>
      <x:c r="I633" s="39" t="n">
        <x:v>1</x:v>
      </x:c>
      <x:c r="J633" s="40" t="n">
        <x:f>B633/1000000000</x:f>
        <x:v>58.7</x:v>
      </x:c>
      <x:c r="K633" s="41" t="n">
        <x:f>IF(C633&lt;0,NA(),(F633-B633)/1000000)</x:f>
        <x:v>0.077582</x:v>
      </x:c>
      <x:c r="L633" s="39" t="n">
        <x:f>IF(C633&lt;0,1,IF(OR(G633=0,H633=0,I633=0,F633-B633&gt;100000000),1,0))</x:f>
        <x:v>0</x:v>
      </x:c>
      <x:c r="M633" s="39" t="n">
        <x:f>IF(C633&lt;0,1,0)</x:f>
        <x:v>0</x:v>
      </x:c>
      <x:c r="N633" s="1"/>
      <x:c r="O633" s="1"/>
      <x:c r="P633" s="1"/>
      <x:c r="Q633" s="1"/>
      <x:c r="R633" s="1"/>
    </x:row>
    <x:row r="634" ht="22" customHeight="1">
      <x:c r="A634" s="39" t="n">
        <x:v>588</x:v>
      </x:c>
      <x:c r="B634" s="39" t="n">
        <x:v>58800000000</x:v>
      </x:c>
      <x:c r="C634" s="39" t="n">
        <x:v>58800058576</x:v>
      </x:c>
      <x:c r="D634" s="39" t="n">
        <x:v>58800088576</x:v>
      </x:c>
      <x:c r="E634" s="39" t="n">
        <x:v>58800114020</x:v>
      </x:c>
      <x:c r="F634" s="39" t="n">
        <x:v>58800124372</x:v>
      </x:c>
      <x:c r="G634" s="39" t="n">
        <x:v>1</x:v>
      </x:c>
      <x:c r="H634" s="39" t="n">
        <x:v>1</x:v>
      </x:c>
      <x:c r="I634" s="39" t="n">
        <x:v>1</x:v>
      </x:c>
      <x:c r="J634" s="40" t="n">
        <x:f>B634/1000000000</x:f>
        <x:v>58.8</x:v>
      </x:c>
      <x:c r="K634" s="41" t="n">
        <x:f>IF(C634&lt;0,NA(),(F634-B634)/1000000)</x:f>
        <x:v>0.124372</x:v>
      </x:c>
      <x:c r="L634" s="39" t="n">
        <x:f>IF(C634&lt;0,1,IF(OR(G634=0,H634=0,I634=0,F634-B634&gt;100000000),1,0))</x:f>
        <x:v>0</x:v>
      </x:c>
      <x:c r="M634" s="39" t="n">
        <x:f>IF(C634&lt;0,1,0)</x:f>
        <x:v>0</x:v>
      </x:c>
      <x:c r="N634" s="1"/>
      <x:c r="O634" s="1"/>
      <x:c r="P634" s="1"/>
      <x:c r="Q634" s="1"/>
      <x:c r="R634" s="1"/>
    </x:row>
    <x:row r="635" ht="22" customHeight="1">
      <x:c r="A635" s="39" t="n">
        <x:v>589</x:v>
      </x:c>
      <x:c r="B635" s="39" t="n">
        <x:v>58900000000</x:v>
      </x:c>
      <x:c r="C635" s="39" t="n">
        <x:v>58900057466</x:v>
      </x:c>
      <x:c r="D635" s="39" t="n">
        <x:v>58900080929</x:v>
      </x:c>
      <x:c r="E635" s="39" t="n">
        <x:v>58900102095</x:v>
      </x:c>
      <x:c r="F635" s="39" t="n">
        <x:v>58900112206</x:v>
      </x:c>
      <x:c r="G635" s="39" t="n">
        <x:v>1</x:v>
      </x:c>
      <x:c r="H635" s="39" t="n">
        <x:v>1</x:v>
      </x:c>
      <x:c r="I635" s="39" t="n">
        <x:v>1</x:v>
      </x:c>
      <x:c r="J635" s="40" t="n">
        <x:f>B635/1000000000</x:f>
        <x:v>58.9</x:v>
      </x:c>
      <x:c r="K635" s="41" t="n">
        <x:f>IF(C635&lt;0,NA(),(F635-B635)/1000000)</x:f>
        <x:v>0.112206</x:v>
      </x:c>
      <x:c r="L635" s="39" t="n">
        <x:f>IF(C635&lt;0,1,IF(OR(G635=0,H635=0,I635=0,F635-B635&gt;100000000),1,0))</x:f>
        <x:v>0</x:v>
      </x:c>
      <x:c r="M635" s="39" t="n">
        <x:f>IF(C635&lt;0,1,0)</x:f>
        <x:v>0</x:v>
      </x:c>
      <x:c r="N635" s="1"/>
      <x:c r="O635" s="1"/>
      <x:c r="P635" s="1"/>
      <x:c r="Q635" s="1"/>
      <x:c r="R635" s="1"/>
    </x:row>
    <x:row r="636" ht="22" customHeight="1">
      <x:c r="A636" s="39" t="n">
        <x:v>590</x:v>
      </x:c>
      <x:c r="B636" s="39" t="n">
        <x:v>59000000000</x:v>
      </x:c>
      <x:c r="C636" s="39" t="n">
        <x:v>59000055514</x:v>
      </x:c>
      <x:c r="D636" s="39" t="n">
        <x:v>59000068921</x:v>
      </x:c>
      <x:c r="E636" s="39" t="n">
        <x:v>59000082181</x:v>
      </x:c>
      <x:c r="F636" s="39" t="n">
        <x:v>59000091773</x:v>
      </x:c>
      <x:c r="G636" s="39" t="n">
        <x:v>1</x:v>
      </x:c>
      <x:c r="H636" s="39" t="n">
        <x:v>1</x:v>
      </x:c>
      <x:c r="I636" s="39" t="n">
        <x:v>1</x:v>
      </x:c>
      <x:c r="J636" s="40" t="n">
        <x:f>B636/1000000000</x:f>
        <x:v>59</x:v>
      </x:c>
      <x:c r="K636" s="41" t="n">
        <x:f>IF(C636&lt;0,NA(),(F636-B636)/1000000)</x:f>
        <x:v>0.091773</x:v>
      </x:c>
      <x:c r="L636" s="39" t="n">
        <x:f>IF(C636&lt;0,1,IF(OR(G636=0,H636=0,I636=0,F636-B636&gt;100000000),1,0))</x:f>
        <x:v>0</x:v>
      </x:c>
      <x:c r="M636" s="39" t="n">
        <x:f>IF(C636&lt;0,1,0)</x:f>
        <x:v>0</x:v>
      </x:c>
      <x:c r="N636" s="1"/>
      <x:c r="O636" s="1"/>
      <x:c r="P636" s="1"/>
      <x:c r="Q636" s="1"/>
      <x:c r="R636" s="1"/>
    </x:row>
    <x:row r="637" ht="22" customHeight="1">
      <x:c r="A637" s="39" t="n">
        <x:v>591</x:v>
      </x:c>
      <x:c r="B637" s="39" t="n">
        <x:v>59100000000</x:v>
      </x:c>
      <x:c r="C637" s="39" t="n">
        <x:v>59100055118</x:v>
      </x:c>
      <x:c r="D637" s="39" t="n">
        <x:v>59100068840</x:v>
      </x:c>
      <x:c r="E637" s="39" t="n">
        <x:v>59100081433</x:v>
      </x:c>
      <x:c r="F637" s="39" t="n">
        <x:v>59100091025</x:v>
      </x:c>
      <x:c r="G637" s="39" t="n">
        <x:v>1</x:v>
      </x:c>
      <x:c r="H637" s="39" t="n">
        <x:v>1</x:v>
      </x:c>
      <x:c r="I637" s="39" t="n">
        <x:v>1</x:v>
      </x:c>
      <x:c r="J637" s="40" t="n">
        <x:f>B637/1000000000</x:f>
        <x:v>59.1</x:v>
      </x:c>
      <x:c r="K637" s="41" t="n">
        <x:f>IF(C637&lt;0,NA(),(F637-B637)/1000000)</x:f>
        <x:v>0.091025</x:v>
      </x:c>
      <x:c r="L637" s="39" t="n">
        <x:f>IF(C637&lt;0,1,IF(OR(G637=0,H637=0,I637=0,F637-B637&gt;100000000),1,0))</x:f>
        <x:v>0</x:v>
      </x:c>
      <x:c r="M637" s="39" t="n">
        <x:f>IF(C637&lt;0,1,0)</x:f>
        <x:v>0</x:v>
      </x:c>
      <x:c r="N637" s="1"/>
      <x:c r="O637" s="1"/>
      <x:c r="P637" s="1"/>
      <x:c r="Q637" s="1"/>
      <x:c r="R637" s="1"/>
    </x:row>
    <x:row r="638" ht="22" customHeight="1">
      <x:c r="A638" s="39" t="n">
        <x:v>592</x:v>
      </x:c>
      <x:c r="B638" s="39" t="n">
        <x:v>59200000000</x:v>
      </x:c>
      <x:c r="C638" s="39" t="n">
        <x:v>59200054870</x:v>
      </x:c>
      <x:c r="D638" s="39" t="n">
        <x:v>59200066833</x:v>
      </x:c>
      <x:c r="E638" s="39" t="n">
        <x:v>59200080314</x:v>
      </x:c>
      <x:c r="F638" s="39" t="n">
        <x:v>59200089814</x:v>
      </x:c>
      <x:c r="G638" s="39" t="n">
        <x:v>1</x:v>
      </x:c>
      <x:c r="H638" s="39" t="n">
        <x:v>1</x:v>
      </x:c>
      <x:c r="I638" s="39" t="n">
        <x:v>1</x:v>
      </x:c>
      <x:c r="J638" s="40" t="n">
        <x:f>B638/1000000000</x:f>
        <x:v>59.2</x:v>
      </x:c>
      <x:c r="K638" s="41" t="n">
        <x:f>IF(C638&lt;0,NA(),(F638-B638)/1000000)</x:f>
        <x:v>0.089814</x:v>
      </x:c>
      <x:c r="L638" s="39" t="n">
        <x:f>IF(C638&lt;0,1,IF(OR(G638=0,H638=0,I638=0,F638-B638&gt;100000000),1,0))</x:f>
        <x:v>0</x:v>
      </x:c>
      <x:c r="M638" s="39" t="n">
        <x:f>IF(C638&lt;0,1,0)</x:f>
        <x:v>0</x:v>
      </x:c>
      <x:c r="N638" s="1"/>
      <x:c r="O638" s="1"/>
      <x:c r="P638" s="1"/>
      <x:c r="Q638" s="1"/>
      <x:c r="R638" s="1"/>
    </x:row>
    <x:row r="639" ht="22" customHeight="1">
      <x:c r="A639" s="39" t="n">
        <x:v>593</x:v>
      </x:c>
      <x:c r="B639" s="39" t="n">
        <x:v>59300000000</x:v>
      </x:c>
      <x:c r="C639" s="39" t="n">
        <x:v>59300053900</x:v>
      </x:c>
      <x:c r="D639" s="39" t="n">
        <x:v>59300062159</x:v>
      </x:c>
      <x:c r="E639" s="39" t="n">
        <x:v>59300071863</x:v>
      </x:c>
      <x:c r="F639" s="39" t="n">
        <x:v>59300081270</x:v>
      </x:c>
      <x:c r="G639" s="39" t="n">
        <x:v>1</x:v>
      </x:c>
      <x:c r="H639" s="39" t="n">
        <x:v>1</x:v>
      </x:c>
      <x:c r="I639" s="39" t="n">
        <x:v>1</x:v>
      </x:c>
      <x:c r="J639" s="40" t="n">
        <x:f>B639/1000000000</x:f>
        <x:v>59.3</x:v>
      </x:c>
      <x:c r="K639" s="41" t="n">
        <x:f>IF(C639&lt;0,NA(),(F639-B639)/1000000)</x:f>
        <x:v>0.08127</x:v>
      </x:c>
      <x:c r="L639" s="39" t="n">
        <x:f>IF(C639&lt;0,1,IF(OR(G639=0,H639=0,I639=0,F639-B639&gt;100000000),1,0))</x:f>
        <x:v>0</x:v>
      </x:c>
      <x:c r="M639" s="39" t="n">
        <x:f>IF(C639&lt;0,1,0)</x:f>
        <x:v>0</x:v>
      </x:c>
      <x:c r="N639" s="1"/>
      <x:c r="O639" s="1"/>
      <x:c r="P639" s="1"/>
      <x:c r="Q639" s="1"/>
      <x:c r="R639" s="1"/>
    </x:row>
    <x:row r="640" ht="22" customHeight="1">
      <x:c r="A640" s="39" t="n">
        <x:v>594</x:v>
      </x:c>
      <x:c r="B640" s="39" t="n">
        <x:v>59400000000</x:v>
      </x:c>
      <x:c r="C640" s="39" t="n">
        <x:v>59400058244</x:v>
      </x:c>
      <x:c r="D640" s="39" t="n">
        <x:v>59400087411</x:v>
      </x:c>
      <x:c r="E640" s="39" t="n">
        <x:v>59400109818</x:v>
      </x:c>
      <x:c r="F640" s="39" t="n">
        <x:v>59400119818</x:v>
      </x:c>
      <x:c r="G640" s="39" t="n">
        <x:v>1</x:v>
      </x:c>
      <x:c r="H640" s="39" t="n">
        <x:v>1</x:v>
      </x:c>
      <x:c r="I640" s="39" t="n">
        <x:v>1</x:v>
      </x:c>
      <x:c r="J640" s="40" t="n">
        <x:f>B640/1000000000</x:f>
        <x:v>59.4</x:v>
      </x:c>
      <x:c r="K640" s="41" t="n">
        <x:f>IF(C640&lt;0,NA(),(F640-B640)/1000000)</x:f>
        <x:v>0.119818</x:v>
      </x:c>
      <x:c r="L640" s="39" t="n">
        <x:f>IF(C640&lt;0,1,IF(OR(G640=0,H640=0,I640=0,F640-B640&gt;100000000),1,0))</x:f>
        <x:v>0</x:v>
      </x:c>
      <x:c r="M640" s="39" t="n">
        <x:f>IF(C640&lt;0,1,0)</x:f>
        <x:v>0</x:v>
      </x:c>
      <x:c r="N640" s="1"/>
      <x:c r="O640" s="1"/>
      <x:c r="P640" s="1"/>
      <x:c r="Q640" s="1"/>
      <x:c r="R640" s="1"/>
    </x:row>
    <x:row r="641" ht="22" customHeight="1">
      <x:c r="A641" s="39" t="n">
        <x:v>595</x:v>
      </x:c>
      <x:c r="B641" s="39" t="n">
        <x:v>59500000000</x:v>
      </x:c>
      <x:c r="C641" s="39" t="n">
        <x:v>59500055515</x:v>
      </x:c>
      <x:c r="D641" s="39" t="n">
        <x:v>59500079570</x:v>
      </x:c>
      <x:c r="E641" s="39" t="n">
        <x:v>59500099237</x:v>
      </x:c>
      <x:c r="F641" s="39" t="n">
        <x:v>59500108996</x:v>
      </x:c>
      <x:c r="G641" s="39" t="n">
        <x:v>1</x:v>
      </x:c>
      <x:c r="H641" s="39" t="n">
        <x:v>1</x:v>
      </x:c>
      <x:c r="I641" s="39" t="n">
        <x:v>1</x:v>
      </x:c>
      <x:c r="J641" s="40" t="n">
        <x:f>B641/1000000000</x:f>
        <x:v>59.5</x:v>
      </x:c>
      <x:c r="K641" s="41" t="n">
        <x:f>IF(C641&lt;0,NA(),(F641-B641)/1000000)</x:f>
        <x:v>0.108996</x:v>
      </x:c>
      <x:c r="L641" s="39" t="n">
        <x:f>IF(C641&lt;0,1,IF(OR(G641=0,H641=0,I641=0,F641-B641&gt;100000000),1,0))</x:f>
        <x:v>0</x:v>
      </x:c>
      <x:c r="M641" s="39" t="n">
        <x:f>IF(C641&lt;0,1,0)</x:f>
        <x:v>0</x:v>
      </x:c>
      <x:c r="N641" s="1"/>
      <x:c r="O641" s="1"/>
      <x:c r="P641" s="1"/>
      <x:c r="Q641" s="1"/>
      <x:c r="R641" s="1"/>
    </x:row>
    <x:row r="642" ht="22" customHeight="1">
      <x:c r="A642" s="39" t="n">
        <x:v>596</x:v>
      </x:c>
      <x:c r="B642" s="39" t="n">
        <x:v>59600000000</x:v>
      </x:c>
      <x:c r="C642" s="39" t="n">
        <x:v>59600055804</x:v>
      </x:c>
      <x:c r="D642" s="39" t="n">
        <x:v>59600074193</x:v>
      </x:c>
      <x:c r="E642" s="39" t="n">
        <x:v>59600091285</x:v>
      </x:c>
      <x:c r="F642" s="39" t="n">
        <x:v>59600100933</x:v>
      </x:c>
      <x:c r="G642" s="39" t="n">
        <x:v>1</x:v>
      </x:c>
      <x:c r="H642" s="39" t="n">
        <x:v>1</x:v>
      </x:c>
      <x:c r="I642" s="39" t="n">
        <x:v>1</x:v>
      </x:c>
      <x:c r="J642" s="40" t="n">
        <x:f>B642/1000000000</x:f>
        <x:v>59.6</x:v>
      </x:c>
      <x:c r="K642" s="41" t="n">
        <x:f>IF(C642&lt;0,NA(),(F642-B642)/1000000)</x:f>
        <x:v>0.100933</x:v>
      </x:c>
      <x:c r="L642" s="39" t="n">
        <x:f>IF(C642&lt;0,1,IF(OR(G642=0,H642=0,I642=0,F642-B642&gt;100000000),1,0))</x:f>
        <x:v>0</x:v>
      </x:c>
      <x:c r="M642" s="39" t="n">
        <x:f>IF(C642&lt;0,1,0)</x:f>
        <x:v>0</x:v>
      </x:c>
      <x:c r="N642" s="1"/>
      <x:c r="O642" s="1"/>
      <x:c r="P642" s="1"/>
      <x:c r="Q642" s="1"/>
      <x:c r="R642" s="1"/>
    </x:row>
    <x:row r="643" ht="22" customHeight="1">
      <x:c r="A643" s="39" t="n">
        <x:v>597</x:v>
      </x:c>
      <x:c r="B643" s="39" t="n">
        <x:v>59700000000</x:v>
      </x:c>
      <x:c r="C643" s="39" t="n">
        <x:v>59700053093</x:v>
      </x:c>
      <x:c r="D643" s="39" t="n">
        <x:v>59700060463</x:v>
      </x:c>
      <x:c r="E643" s="39" t="n">
        <x:v>59700068982</x:v>
      </x:c>
      <x:c r="F643" s="39" t="n">
        <x:v>59700078333</x:v>
      </x:c>
      <x:c r="G643" s="39" t="n">
        <x:v>1</x:v>
      </x:c>
      <x:c r="H643" s="39" t="n">
        <x:v>1</x:v>
      </x:c>
      <x:c r="I643" s="39" t="n">
        <x:v>1</x:v>
      </x:c>
      <x:c r="J643" s="40" t="n">
        <x:f>B643/1000000000</x:f>
        <x:v>59.7</x:v>
      </x:c>
      <x:c r="K643" s="41" t="n">
        <x:f>IF(C643&lt;0,NA(),(F643-B643)/1000000)</x:f>
        <x:v>0.078333</x:v>
      </x:c>
      <x:c r="L643" s="39" t="n">
        <x:f>IF(C643&lt;0,1,IF(OR(G643=0,H643=0,I643=0,F643-B643&gt;100000000),1,0))</x:f>
        <x:v>0</x:v>
      </x:c>
      <x:c r="M643" s="39" t="n">
        <x:f>IF(C643&lt;0,1,0)</x:f>
        <x:v>0</x:v>
      </x:c>
      <x:c r="N643" s="1"/>
      <x:c r="O643" s="1"/>
      <x:c r="P643" s="1"/>
      <x:c r="Q643" s="1"/>
      <x:c r="R643" s="1"/>
    </x:row>
    <x:row r="644" ht="22" customHeight="1">
      <x:c r="A644" s="39" t="n">
        <x:v>598</x:v>
      </x:c>
      <x:c r="B644" s="39" t="n">
        <x:v>59800000000</x:v>
      </x:c>
      <x:c r="C644" s="39" t="n">
        <x:v>59800052660</x:v>
      </x:c>
      <x:c r="D644" s="39" t="n">
        <x:v>59800059271</x:v>
      </x:c>
      <x:c r="E644" s="39" t="n">
        <x:v>59800078604</x:v>
      </x:c>
      <x:c r="F644" s="39" t="n">
        <x:v>59800087993</x:v>
      </x:c>
      <x:c r="G644" s="39" t="n">
        <x:v>1</x:v>
      </x:c>
      <x:c r="H644" s="39" t="n">
        <x:v>1</x:v>
      </x:c>
      <x:c r="I644" s="39" t="n">
        <x:v>1</x:v>
      </x:c>
      <x:c r="J644" s="40" t="n">
        <x:f>B644/1000000000</x:f>
        <x:v>59.8</x:v>
      </x:c>
      <x:c r="K644" s="41" t="n">
        <x:f>IF(C644&lt;0,NA(),(F644-B644)/1000000)</x:f>
        <x:v>0.087993</x:v>
      </x:c>
      <x:c r="L644" s="39" t="n">
        <x:f>IF(C644&lt;0,1,IF(OR(G644=0,H644=0,I644=0,F644-B644&gt;100000000),1,0))</x:f>
        <x:v>0</x:v>
      </x:c>
      <x:c r="M644" s="39" t="n">
        <x:f>IF(C644&lt;0,1,0)</x:f>
        <x:v>0</x:v>
      </x:c>
      <x:c r="N644" s="1"/>
      <x:c r="O644" s="1"/>
      <x:c r="P644" s="1"/>
      <x:c r="Q644" s="1"/>
      <x:c r="R644" s="1"/>
    </x:row>
    <x:row r="645" ht="22" customHeight="1">
      <x:c r="A645" s="39" t="n">
        <x:v>599</x:v>
      </x:c>
      <x:c r="B645" s="39" t="n">
        <x:v>59900000000</x:v>
      </x:c>
      <x:c r="C645" s="39" t="n">
        <x:v>59900055307</x:v>
      </x:c>
      <x:c r="D645" s="39" t="n">
        <x:v>59900069326</x:v>
      </x:c>
      <x:c r="E645" s="39" t="n">
        <x:v>59900083048</x:v>
      </x:c>
      <x:c r="F645" s="39" t="n">
        <x:v>59900092659</x:v>
      </x:c>
      <x:c r="G645" s="39" t="n">
        <x:v>1</x:v>
      </x:c>
      <x:c r="H645" s="39" t="n">
        <x:v>1</x:v>
      </x:c>
      <x:c r="I645" s="39" t="n">
        <x:v>1</x:v>
      </x:c>
      <x:c r="J645" s="40" t="n">
        <x:f>B645/1000000000</x:f>
        <x:v>59.9</x:v>
      </x:c>
      <x:c r="K645" s="41" t="n">
        <x:f>IF(C645&lt;0,NA(),(F645-B645)/1000000)</x:f>
        <x:v>0.092659</x:v>
      </x:c>
      <x:c r="L645" s="39" t="n">
        <x:f>IF(C645&lt;0,1,IF(OR(G645=0,H645=0,I645=0,F645-B645&gt;100000000),1,0))</x:f>
        <x:v>0</x:v>
      </x:c>
      <x:c r="M645" s="39" t="n">
        <x:f>IF(C645&lt;0,1,0)</x:f>
        <x:v>0</x:v>
      </x:c>
      <x:c r="N645" s="1"/>
      <x:c r="O645" s="1"/>
      <x:c r="P645" s="1"/>
      <x:c r="Q645" s="1"/>
      <x:c r="R645" s="1"/>
    </x:row>
    <x:row r="646" ht="22" customHeight="1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</x:row>
    <x:row r="647" ht="22" customHeight="1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</x:row>
    <x:row r="648" ht="22" customHeight="1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</x:row>
    <x:row r="649" ht="22" customHeight="1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</x:row>
    <x:row r="650" ht="22" customHeight="1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</x:row>
    <x:row r="651" ht="22" customHeight="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</x:row>
    <x:row r="652" ht="22" customHeight="1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</x:row>
    <x:row r="653" ht="22" customHeight="1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</x:row>
    <x:row r="654" ht="22" customHeight="1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</x:row>
    <x:row r="655" ht="22" customHeight="1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</x:row>
  </x:sheetData>
  <x:conditionalFormatting sqref="L46:L645">
    <x:cfRule type="cellIs" dxfId="8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01842c50e4a64f38"/>
</x:worksheet>
</file>